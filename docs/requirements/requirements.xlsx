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go0\OneDrive\바탕 화면\docs\requirements\"/>
    </mc:Choice>
  </mc:AlternateContent>
  <xr:revisionPtr revIDLastSave="0" documentId="13_ncr:1_{208CDB4C-E460-4611-9E15-7B928D660D62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요구사항정의서" sheetId="1" r:id="rId1"/>
  </sheets>
  <calcPr calcId="191029"/>
  <customWorkbookViews>
    <customWorkbookView name="필터 1" guid="{FCC333FE-4EB1-4A28-AE94-B8A85C1B66CE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wS44Wfu1+mhSqFbP8UJ+C6cI4n87kEQ8rE5atZEXNTg="/>
    </ext>
  </extLst>
</workbook>
</file>

<file path=xl/calcChain.xml><?xml version="1.0" encoding="utf-8"?>
<calcChain xmlns="http://schemas.openxmlformats.org/spreadsheetml/2006/main">
  <c r="B47" i="1" l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3" i="1"/>
  <c r="A33" i="1"/>
  <c r="A31" i="1"/>
  <c r="A28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<sst xmlns="http://schemas.openxmlformats.org/spreadsheetml/2006/main" count="272" uniqueCount="152">
  <si>
    <t>요구사항정의서</t>
  </si>
  <si>
    <t>번호</t>
  </si>
  <si>
    <t>요구사항 ID</t>
  </si>
  <si>
    <t xml:space="preserve">구분 </t>
  </si>
  <si>
    <t>요구사항</t>
  </si>
  <si>
    <t>요구사항 명</t>
  </si>
  <si>
    <t>상세설명</t>
  </si>
  <si>
    <t>담당자</t>
  </si>
  <si>
    <t xml:space="preserve">비고 </t>
  </si>
  <si>
    <t>진행도</t>
  </si>
  <si>
    <t>우선순위</t>
  </si>
  <si>
    <t>REQ-101</t>
  </si>
  <si>
    <t>웹 UI</t>
  </si>
  <si>
    <t>로그인</t>
  </si>
  <si>
    <t>로그인 화면</t>
  </si>
  <si>
    <t>사용자 로그인 UI 구성
 - 사용자ID or Email 입력칸, 비밀번호 입력칸
 - 아이디, 비밀번호 찾기, 가입하기</t>
  </si>
  <si>
    <t>황예민</t>
  </si>
  <si>
    <t>진행중</t>
  </si>
  <si>
    <t>02-상</t>
  </si>
  <si>
    <t>REQ-102</t>
  </si>
  <si>
    <t>로그인 실패</t>
  </si>
  <si>
    <t>사용자가 올바르지 못한 아이디나 비밀번호로 로그인했을 시 로그인 실패를 표시함</t>
  </si>
  <si>
    <t>개인정보 확인 안함(이메일 확인이나 전화번호 확인)</t>
  </si>
  <si>
    <t>03-중</t>
  </si>
  <si>
    <t>REQ-103</t>
  </si>
  <si>
    <t>로그인 성공</t>
  </si>
  <si>
    <t>사용자가 올바르게 로그인했을 경우 로그인 성공을 표시하고 REQ-202, 메인 화면으로 넘어감</t>
  </si>
  <si>
    <t>추가사항 : 메인화면으로 가기 전 대시보드페이지를 거쳐서 메인으로 이동</t>
  </si>
  <si>
    <t>REQ-104</t>
  </si>
  <si>
    <t>회원가입</t>
  </si>
  <si>
    <t>회원가입 화면</t>
  </si>
  <si>
    <t>이름, 성별, 생년월일, 이메일, 비밀번호, 비밀번호 확인, 핸드폰 번호, 닉네임 입력칸과 회원 가입 버튼을 표시하는 화면 구성, ID,PW 찾기 시 사용할 질문과 답변</t>
  </si>
  <si>
    <t>REQ-105</t>
  </si>
  <si>
    <t>회원가입 실패</t>
  </si>
  <si>
    <t>사용자가 올바르지 못한 정보로 회원가입를 시도했을 시 실패와 실패 이유를 표시함.
ex: 아이디 중복, 올바르지 못한 핸드폰 번호, 이메일 형식, 비밀번호와 비밀번호 확인이 일치하지 않음 등</t>
  </si>
  <si>
    <t>REQ-106</t>
  </si>
  <si>
    <t>회원가입 성공</t>
  </si>
  <si>
    <t>사용자가 올바르게 회원가입했을 경우 회원가입 성공을 표시하고 REQ-101, 로그인 화면으로 넘어감</t>
  </si>
  <si>
    <t>04-하</t>
  </si>
  <si>
    <t>REQ-107</t>
  </si>
  <si>
    <t>ID, PW 찾기</t>
  </si>
  <si>
    <t>ID, PW 찾기 화면</t>
  </si>
  <si>
    <t>ID, PW 중 무엇을 찾는지 선택하는 화면</t>
  </si>
  <si>
    <t>REQ-108</t>
  </si>
  <si>
    <t>ID 선택</t>
  </si>
  <si>
    <t>ID 찾기 버튼을 누르면 REQ-110, ID 찾기 화면으로 넘어감</t>
  </si>
  <si>
    <t>현재는 이메일로 로그인, 추후에 아이디로 로그인 구현하면 사용할 페이지</t>
  </si>
  <si>
    <t>REQ-109</t>
  </si>
  <si>
    <t>PW 찾기</t>
  </si>
  <si>
    <t>PW 찾기 버튼을 누르면 REQ-112, PW 찾기 화면으로 넘어감</t>
  </si>
  <si>
    <t>REQ-110</t>
  </si>
  <si>
    <t>ID 찾기 화면</t>
  </si>
  <si>
    <t>회원가입 시 선택한 질문을 보여주고 답변 입력 받기</t>
  </si>
  <si>
    <t>질문1</t>
  </si>
  <si>
    <t>REQ-111</t>
  </si>
  <si>
    <t>ID 찾기 결과
화면</t>
  </si>
  <si>
    <t>REQ-110에서 입력 받은 정보를 바탕으로 소유한 ID를 표시하는 화면 구성
라디오 패널을 이용해 선택한 ID의 비밀번호를 바꿀 수 있도록 구성</t>
  </si>
  <si>
    <t>REQ-112</t>
  </si>
  <si>
    <t xml:space="preserve">PW 찾기 </t>
  </si>
  <si>
    <t>질문2</t>
  </si>
  <si>
    <t>REQ-113</t>
  </si>
  <si>
    <t>PW 변경</t>
  </si>
  <si>
    <t>REQ-112에서 인증된 ID의 비밀번호를 변경함. New PW, Re-type New PW에 정보를 입력하고 변경하는 화면 구성</t>
  </si>
  <si>
    <t>REQ-114</t>
  </si>
  <si>
    <t>로그아웃</t>
  </si>
  <si>
    <t>누르면 로그아웃하면서 메인화면으로 이동하도록 구성</t>
  </si>
  <si>
    <t>REQ-201</t>
  </si>
  <si>
    <t>메인 화면</t>
  </si>
  <si>
    <t>로그인 전 메인 화면</t>
  </si>
  <si>
    <t>로고, 로그인/회원가입 버튼, 레시피 검색, 레시피 카테고리, 요리 카테고리 구성, 정보제공사이트 하이퍼링크 달기</t>
  </si>
  <si>
    <t>김소희</t>
  </si>
  <si>
    <t>REQ-202</t>
  </si>
  <si>
    <t>로그인 후 메인 화면</t>
  </si>
  <si>
    <r>
      <rPr>
        <sz val="10"/>
        <color theme="1"/>
        <rFont val="Arial"/>
      </rPr>
      <t xml:space="preserve">로고, 레시피 검색, 레시피 카테고리, 요리 카테고리 구성 최근 본 레시피, 즐겨찾기한 레시피, 마이페이지, 로그아웃 버튼, 정보제공사이트 하이퍼링크 달기, </t>
    </r>
    <r>
      <rPr>
        <sz val="10"/>
        <color rgb="FFFF0000"/>
        <rFont val="Arial"/>
      </rPr>
      <t>레시피 작성 버튼</t>
    </r>
  </si>
  <si>
    <t>REQ-204</t>
  </si>
  <si>
    <t>마이페이지(메인)</t>
  </si>
  <si>
    <t>개인정보</t>
  </si>
  <si>
    <t>프로필 이미지 설정, 개인정보 수정(아이디, 비밀번호, 닉네임 등)</t>
  </si>
  <si>
    <t>권주회</t>
  </si>
  <si>
    <t>REQ-205</t>
  </si>
  <si>
    <t>개인정보 외</t>
  </si>
  <si>
    <t>선호도(싫어하는 재료, 좋아하는 재료), 알레르기 정보</t>
  </si>
  <si>
    <t>레시피 관련 정보</t>
  </si>
  <si>
    <t>사용자가 스크랩한 레시피, 좋아요한 레시피, 지금까지 완성/사용한 레시피, 최근 본 레시피</t>
  </si>
  <si>
    <t xml:space="preserve">사용자가 시도해보고 싶어서 스크랩한 레시피랑 직접 사용해본 레시피를 구분해서 저장할 수 있도록 구현, 사용자가 작성한 레시피에 대한 좋아요수 와 공유횟수는 작성자 본인만 확인 가능하도록 구현 ex)인스타그램 </t>
  </si>
  <si>
    <t>마이페이지(작성한 댓글&amp;게시물 모아보기 클릭시)</t>
  </si>
  <si>
    <t>작성한 게시물</t>
  </si>
  <si>
    <t>사용자가 작성한 게시물을 바둑판 형식으로 보여줌</t>
  </si>
  <si>
    <t>작성한 댓글</t>
  </si>
  <si>
    <t>사용자가 작성한 댓글 보여줌</t>
  </si>
  <si>
    <t>레시피 추천 페이지</t>
  </si>
  <si>
    <t>제철 레시피</t>
  </si>
  <si>
    <t>계절별 제철 식재료를 이용한 인기 레시피 추천</t>
  </si>
  <si>
    <t>화제의 레시피</t>
  </si>
  <si>
    <t>사이트 내 클릭 횟수가 많은 상위 3~5개 정도의 레시피 추천</t>
  </si>
  <si>
    <t>특색 레시피</t>
  </si>
  <si>
    <t>최근 유행하는 레시피 추천(레시피 선정 기준 아직 모름)</t>
  </si>
  <si>
    <t>모든 레시피</t>
  </si>
  <si>
    <t>모든 레시피를 보여줌</t>
  </si>
  <si>
    <t>조승일</t>
  </si>
  <si>
    <t>REQ-206</t>
  </si>
  <si>
    <t>레시피 상세 페이지</t>
  </si>
  <si>
    <t>레시피 검색 부분</t>
  </si>
  <si>
    <t>재료 사진 첨부, 재료 텍스트로 입력</t>
  </si>
  <si>
    <t>레시피 상세 내용 부분</t>
  </si>
  <si>
    <t>해당 레시피의 완성된 음식 사진, 음식 이름, 조리 시간, 요리 난이도, 요리 재료(재료 이름/필요한 분량), 요리 재료 옆에 체크리스트(체크하면 해당 자료가 없다고 인식 후 대체 재료 추천), 레시피 조리순서, 레시피 관련 해시 태그, 레시피 공유 기능, 피드백 기능(좋아요, 스크랩, 댓글)</t>
  </si>
  <si>
    <t>레시피 스크랩 후 직접 레시피 사용을 완료하면 레시피 완성 마크 부여</t>
  </si>
  <si>
    <t>레시피 별 댓글 부분</t>
  </si>
  <si>
    <t xml:space="preserve">댓글, 댓글 좋아요 </t>
  </si>
  <si>
    <t>REQ-209</t>
  </si>
  <si>
    <t>레시피 작성 페이지</t>
  </si>
  <si>
    <t>음식 사진, 이름, 소요 시간, 재료, 조리순서, 해시태그 입력 받음</t>
  </si>
  <si>
    <t>요리 꿀팁 페이지</t>
  </si>
  <si>
    <t>우리의 식탁 사이트의 손질법, 보관법, 요리정보등 크롤링해서 사용 예정</t>
  </si>
  <si>
    <t>임수현</t>
  </si>
  <si>
    <t>DB</t>
  </si>
  <si>
    <t>db  테이블 생성</t>
  </si>
  <si>
    <t>User 테이블</t>
  </si>
  <si>
    <t>유저 ID, 사용자 이름, 해시된 비밀번호, 사용자 이메일, 계정 생성일, 최근 수정일, 알러지 정보, 채식 선호도 등</t>
  </si>
  <si>
    <t>User_likes 테이블</t>
  </si>
  <si>
    <t>user_likes 고유 ID, 사용자ID, 레시피ID, 생성 날짜</t>
  </si>
  <si>
    <t>User_Scraps 테이블</t>
  </si>
  <si>
    <t>스크랩ID, 유저ID, 레시피ID, 생성 날짜</t>
  </si>
  <si>
    <t>User_Completed_Recipes 테이블</t>
  </si>
  <si>
    <t>완료ID, 유저ID, 레시피ID, 생성 날짜</t>
  </si>
  <si>
    <t>최근 본 레시피 테이블</t>
  </si>
  <si>
    <t>recent_id, 유저ID, 레시피ID, 최근 본 날짜(시간등)</t>
  </si>
  <si>
    <t>레시피 테이블</t>
  </si>
  <si>
    <t>레시피 고유 ID, 유저ID, 레시피 이름, 레시피 사진, 레시피 조리 시간, 레시피 난이도, 레시피 요리 과정 단계별 설명, 제공인원 등</t>
  </si>
  <si>
    <t>재료 테이블</t>
  </si>
  <si>
    <t>재료 고유 ID, 레시피 고유 ID, 재료 이름, 재료 양, 재료 단위, 가능한 대체 재료</t>
  </si>
  <si>
    <t>카테고리 테이블</t>
  </si>
  <si>
    <t>카테고리 고유 ID, 레시피 ID, 카테고리 이름(ex.한식, 양식, 디저트 등)</t>
  </si>
  <si>
    <t>제외 할 재료 테이블</t>
  </si>
  <si>
    <t>exclusion_id, 유저ID, 재료 이름</t>
  </si>
  <si>
    <t>댓글 테이블</t>
  </si>
  <si>
    <t>댓글 ID, 레시피 ID, 유저ID, 내용, 작성일, 수정일 등</t>
  </si>
  <si>
    <t>AI</t>
  </si>
  <si>
    <t>재료 사진 인식</t>
  </si>
  <si>
    <t>YOLOv8 모델을 사용하여 이미지 내 여러 재료를 라벨링하여 각 재료를 텍스트로 변환하고 사용자가 텍스트를 확인 및 수정할 수 있다.</t>
  </si>
  <si>
    <t>최대 3가지 재료만 인식하도록.
3가지 넘어서 인식될 경우 예외처리</t>
  </si>
  <si>
    <t>레시피 추천</t>
  </si>
  <si>
    <t>아이템 기반 협업 필터링</t>
  </si>
  <si>
    <t>선호하지 않는 재료나 알레르기 정보를 고려하여 레시피를 제외한다.</t>
  </si>
  <si>
    <t>사용자 기반 협업 필터링</t>
  </si>
  <si>
    <t>다른 사용자의 선호도, 알레르기 정보 등을 반영해 레시피 추천</t>
  </si>
  <si>
    <t>유사한 사용자 그룹의 선호도를 반영한다.</t>
  </si>
  <si>
    <t>딥러닝 기반 자동 인코더</t>
  </si>
  <si>
    <t>조회 여부, 좋아요, 스크랩, 레시피 완료 여부 데이터를 암묵적 피드백으로 사용하여 미사용한 레시피를 예측하여 추천한다.</t>
  </si>
  <si>
    <t>레시피 최적화</t>
  </si>
  <si>
    <t>대체 재료 추천</t>
  </si>
  <si>
    <t>ChatGPT API를 사용하여 대체 재료를 추천한다.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</si>
</sst>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4"/>
      <color theme="1"/>
      <name val="Malgun Gothic"/>
      <family val="3"/>
      <charset val="129"/>
    </font>
    <font>
      <sz val="10"/>
      <name val="Arial"/>
    </font>
    <font>
      <b/>
      <sz val="11"/>
      <color theme="1"/>
      <name val="Arial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rgb="FFFF0000"/>
      <name val="Arial"/>
    </font>
    <font>
      <sz val="8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/>
    </xf>
    <xf numFmtId="0" fontId="5" fillId="3" borderId="3" xfId="0" applyFont="1" applyFill="1" applyBorder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7" fillId="3" borderId="3" xfId="0" applyFont="1" applyFill="1" applyBorder="1" applyAlignment="1">
      <alignment horizontal="left" wrapText="1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84"/>
  <sheetViews>
    <sheetView tabSelected="1" workbookViewId="0">
      <selection activeCell="D9" sqref="D9:D15"/>
    </sheetView>
  </sheetViews>
  <sheetFormatPr defaultColWidth="12.6328125" defaultRowHeight="15" customHeight="1"/>
  <cols>
    <col min="1" max="1" width="7.08984375" customWidth="1"/>
    <col min="2" max="2" width="11.08984375" customWidth="1"/>
    <col min="3" max="3" width="12.453125" customWidth="1"/>
    <col min="4" max="4" width="42.26953125" customWidth="1"/>
    <col min="5" max="5" width="25.90625" customWidth="1"/>
    <col min="6" max="6" width="45.90625" customWidth="1"/>
    <col min="7" max="7" width="11.08984375" customWidth="1"/>
    <col min="8" max="8" width="45" customWidth="1"/>
    <col min="9" max="26" width="11.08984375" customWidth="1"/>
  </cols>
  <sheetData>
    <row r="1" spans="1:10" ht="28.5" customHeight="1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25.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48.75" customHeight="1">
      <c r="A3" s="2">
        <f t="shared" ref="A3:A21" si="0">ROW()-2</f>
        <v>1</v>
      </c>
      <c r="B3" s="2" t="s">
        <v>11</v>
      </c>
      <c r="C3" s="2" t="s">
        <v>12</v>
      </c>
      <c r="D3" s="21" t="s">
        <v>13</v>
      </c>
      <c r="E3" s="2" t="s">
        <v>14</v>
      </c>
      <c r="F3" s="3" t="s">
        <v>15</v>
      </c>
      <c r="G3" s="2" t="s">
        <v>16</v>
      </c>
      <c r="H3" s="3"/>
      <c r="I3" s="2" t="s">
        <v>17</v>
      </c>
      <c r="J3" s="4" t="s">
        <v>18</v>
      </c>
    </row>
    <row r="4" spans="1:10" ht="48" customHeight="1">
      <c r="A4" s="2">
        <f t="shared" si="0"/>
        <v>2</v>
      </c>
      <c r="B4" s="2" t="s">
        <v>19</v>
      </c>
      <c r="C4" s="2" t="s">
        <v>12</v>
      </c>
      <c r="D4" s="22"/>
      <c r="E4" s="2" t="s">
        <v>20</v>
      </c>
      <c r="F4" s="3" t="s">
        <v>21</v>
      </c>
      <c r="G4" s="2"/>
      <c r="H4" s="3" t="s">
        <v>22</v>
      </c>
      <c r="I4" s="2" t="s">
        <v>17</v>
      </c>
      <c r="J4" s="4" t="s">
        <v>23</v>
      </c>
    </row>
    <row r="5" spans="1:10" ht="39" customHeight="1">
      <c r="A5" s="2">
        <f t="shared" si="0"/>
        <v>3</v>
      </c>
      <c r="B5" s="2" t="s">
        <v>24</v>
      </c>
      <c r="C5" s="2" t="s">
        <v>12</v>
      </c>
      <c r="D5" s="23"/>
      <c r="E5" s="2" t="s">
        <v>25</v>
      </c>
      <c r="F5" s="3" t="s">
        <v>26</v>
      </c>
      <c r="G5" s="2"/>
      <c r="H5" s="3" t="s">
        <v>27</v>
      </c>
      <c r="I5" s="2" t="s">
        <v>17</v>
      </c>
      <c r="J5" s="4" t="s">
        <v>23</v>
      </c>
    </row>
    <row r="6" spans="1:10" ht="39.75" customHeight="1">
      <c r="A6" s="2">
        <f t="shared" si="0"/>
        <v>4</v>
      </c>
      <c r="B6" s="2" t="s">
        <v>28</v>
      </c>
      <c r="C6" s="2" t="s">
        <v>12</v>
      </c>
      <c r="D6" s="21" t="s">
        <v>29</v>
      </c>
      <c r="E6" s="2" t="s">
        <v>30</v>
      </c>
      <c r="F6" s="3" t="s">
        <v>31</v>
      </c>
      <c r="G6" s="2" t="s">
        <v>16</v>
      </c>
      <c r="H6" s="4"/>
      <c r="I6" s="2" t="s">
        <v>17</v>
      </c>
      <c r="J6" s="4" t="s">
        <v>23</v>
      </c>
    </row>
    <row r="7" spans="1:10" ht="51" customHeight="1">
      <c r="A7" s="2">
        <f t="shared" si="0"/>
        <v>5</v>
      </c>
      <c r="B7" s="2" t="s">
        <v>32</v>
      </c>
      <c r="C7" s="2" t="s">
        <v>12</v>
      </c>
      <c r="D7" s="22"/>
      <c r="E7" s="2" t="s">
        <v>33</v>
      </c>
      <c r="F7" s="3" t="s">
        <v>34</v>
      </c>
      <c r="G7" s="2"/>
      <c r="H7" s="4"/>
      <c r="I7" s="2" t="s">
        <v>17</v>
      </c>
      <c r="J7" s="4" t="s">
        <v>23</v>
      </c>
    </row>
    <row r="8" spans="1:10" ht="52" customHeight="1">
      <c r="A8" s="2">
        <f t="shared" si="0"/>
        <v>6</v>
      </c>
      <c r="B8" s="2" t="s">
        <v>35</v>
      </c>
      <c r="C8" s="2" t="s">
        <v>12</v>
      </c>
      <c r="D8" s="23"/>
      <c r="E8" s="2" t="s">
        <v>36</v>
      </c>
      <c r="F8" s="3" t="s">
        <v>37</v>
      </c>
      <c r="G8" s="2"/>
      <c r="H8" s="4"/>
      <c r="I8" s="2" t="s">
        <v>17</v>
      </c>
      <c r="J8" s="4" t="s">
        <v>38</v>
      </c>
    </row>
    <row r="9" spans="1:10" ht="15.75" customHeight="1">
      <c r="A9" s="2">
        <f t="shared" si="0"/>
        <v>7</v>
      </c>
      <c r="B9" s="2" t="s">
        <v>39</v>
      </c>
      <c r="C9" s="2" t="s">
        <v>12</v>
      </c>
      <c r="D9" s="21" t="s">
        <v>40</v>
      </c>
      <c r="E9" s="2" t="s">
        <v>41</v>
      </c>
      <c r="F9" s="3" t="s">
        <v>42</v>
      </c>
      <c r="G9" s="2"/>
      <c r="H9" s="4"/>
      <c r="I9" s="2" t="s">
        <v>17</v>
      </c>
      <c r="J9" s="4" t="s">
        <v>23</v>
      </c>
    </row>
    <row r="10" spans="1:10" ht="39.75" customHeight="1">
      <c r="A10" s="2">
        <f t="shared" si="0"/>
        <v>8</v>
      </c>
      <c r="B10" s="2" t="s">
        <v>43</v>
      </c>
      <c r="C10" s="2" t="s">
        <v>12</v>
      </c>
      <c r="D10" s="22"/>
      <c r="E10" s="2" t="s">
        <v>44</v>
      </c>
      <c r="F10" s="3" t="s">
        <v>45</v>
      </c>
      <c r="G10" s="2"/>
      <c r="H10" s="3" t="s">
        <v>46</v>
      </c>
      <c r="I10" s="2" t="s">
        <v>17</v>
      </c>
      <c r="J10" s="4" t="s">
        <v>23</v>
      </c>
    </row>
    <row r="11" spans="1:10" ht="27" customHeight="1">
      <c r="A11" s="2">
        <f t="shared" si="0"/>
        <v>9</v>
      </c>
      <c r="B11" s="2" t="s">
        <v>47</v>
      </c>
      <c r="C11" s="2" t="s">
        <v>12</v>
      </c>
      <c r="D11" s="22"/>
      <c r="E11" s="2" t="s">
        <v>48</v>
      </c>
      <c r="F11" s="3" t="s">
        <v>49</v>
      </c>
      <c r="G11" s="2"/>
      <c r="H11" s="4"/>
      <c r="I11" s="2" t="s">
        <v>17</v>
      </c>
      <c r="J11" s="4" t="s">
        <v>23</v>
      </c>
    </row>
    <row r="12" spans="1:10" ht="15.75" customHeight="1">
      <c r="A12" s="2">
        <f t="shared" si="0"/>
        <v>10</v>
      </c>
      <c r="B12" s="2" t="s">
        <v>50</v>
      </c>
      <c r="C12" s="2" t="s">
        <v>12</v>
      </c>
      <c r="D12" s="22"/>
      <c r="E12" s="2" t="s">
        <v>51</v>
      </c>
      <c r="F12" s="3" t="s">
        <v>52</v>
      </c>
      <c r="G12" s="2"/>
      <c r="H12" s="4" t="s">
        <v>53</v>
      </c>
      <c r="I12" s="2" t="s">
        <v>17</v>
      </c>
      <c r="J12" s="4" t="s">
        <v>23</v>
      </c>
    </row>
    <row r="13" spans="1:10" ht="25" customHeight="1">
      <c r="A13" s="2">
        <f t="shared" si="0"/>
        <v>11</v>
      </c>
      <c r="B13" s="2" t="s">
        <v>54</v>
      </c>
      <c r="C13" s="2" t="s">
        <v>12</v>
      </c>
      <c r="D13" s="22"/>
      <c r="E13" s="2" t="s">
        <v>55</v>
      </c>
      <c r="F13" s="3" t="s">
        <v>56</v>
      </c>
      <c r="G13" s="2"/>
      <c r="H13" s="3"/>
      <c r="I13" s="2" t="s">
        <v>17</v>
      </c>
      <c r="J13" s="4" t="s">
        <v>38</v>
      </c>
    </row>
    <row r="14" spans="1:10" ht="15.75" customHeight="1">
      <c r="A14" s="2">
        <f t="shared" si="0"/>
        <v>12</v>
      </c>
      <c r="B14" s="2" t="s">
        <v>57</v>
      </c>
      <c r="C14" s="2" t="s">
        <v>12</v>
      </c>
      <c r="D14" s="22"/>
      <c r="E14" s="2" t="s">
        <v>58</v>
      </c>
      <c r="F14" s="3" t="s">
        <v>52</v>
      </c>
      <c r="G14" s="2"/>
      <c r="H14" s="4" t="s">
        <v>59</v>
      </c>
      <c r="I14" s="2" t="s">
        <v>17</v>
      </c>
      <c r="J14" s="4" t="s">
        <v>23</v>
      </c>
    </row>
    <row r="15" spans="1:10" ht="36" customHeight="1">
      <c r="A15" s="2">
        <f t="shared" si="0"/>
        <v>13</v>
      </c>
      <c r="B15" s="2" t="s">
        <v>60</v>
      </c>
      <c r="C15" s="2" t="s">
        <v>12</v>
      </c>
      <c r="D15" s="23"/>
      <c r="E15" s="2" t="s">
        <v>61</v>
      </c>
      <c r="F15" s="3" t="s">
        <v>62</v>
      </c>
      <c r="G15" s="2"/>
      <c r="H15" s="4"/>
      <c r="I15" s="2" t="s">
        <v>17</v>
      </c>
      <c r="J15" s="4" t="s">
        <v>23</v>
      </c>
    </row>
    <row r="16" spans="1:10" ht="15.75" customHeight="1">
      <c r="A16" s="2">
        <f t="shared" si="0"/>
        <v>14</v>
      </c>
      <c r="B16" s="2" t="s">
        <v>63</v>
      </c>
      <c r="C16" s="2" t="s">
        <v>12</v>
      </c>
      <c r="D16" s="2" t="s">
        <v>64</v>
      </c>
      <c r="E16" s="2" t="s">
        <v>64</v>
      </c>
      <c r="F16" s="3" t="s">
        <v>65</v>
      </c>
      <c r="G16" s="2"/>
      <c r="H16" s="4"/>
      <c r="I16" s="2" t="s">
        <v>17</v>
      </c>
      <c r="J16" s="4" t="s">
        <v>23</v>
      </c>
    </row>
    <row r="17" spans="1:26" ht="49.5" customHeight="1">
      <c r="A17" s="2">
        <f t="shared" si="0"/>
        <v>15</v>
      </c>
      <c r="B17" s="2" t="s">
        <v>66</v>
      </c>
      <c r="C17" s="2" t="s">
        <v>12</v>
      </c>
      <c r="D17" s="21" t="s">
        <v>67</v>
      </c>
      <c r="E17" s="2" t="s">
        <v>68</v>
      </c>
      <c r="F17" s="3" t="s">
        <v>69</v>
      </c>
      <c r="G17" s="2" t="s">
        <v>70</v>
      </c>
      <c r="H17" s="3"/>
      <c r="I17" s="2" t="s">
        <v>17</v>
      </c>
      <c r="J17" s="4" t="s">
        <v>18</v>
      </c>
    </row>
    <row r="18" spans="1:26" ht="53.5" customHeight="1">
      <c r="A18" s="2">
        <f t="shared" si="0"/>
        <v>16</v>
      </c>
      <c r="B18" s="2" t="s">
        <v>71</v>
      </c>
      <c r="C18" s="2" t="s">
        <v>12</v>
      </c>
      <c r="D18" s="23"/>
      <c r="E18" s="2" t="s">
        <v>72</v>
      </c>
      <c r="F18" s="3" t="s">
        <v>73</v>
      </c>
      <c r="G18" s="2" t="s">
        <v>70</v>
      </c>
      <c r="H18" s="4"/>
      <c r="I18" s="2" t="s">
        <v>17</v>
      </c>
      <c r="J18" s="4" t="s">
        <v>18</v>
      </c>
    </row>
    <row r="19" spans="1:26" ht="32" customHeight="1">
      <c r="A19" s="2">
        <f t="shared" si="0"/>
        <v>17</v>
      </c>
      <c r="B19" s="2" t="s">
        <v>74</v>
      </c>
      <c r="C19" s="2" t="s">
        <v>12</v>
      </c>
      <c r="D19" s="21" t="s">
        <v>75</v>
      </c>
      <c r="E19" s="2" t="s">
        <v>76</v>
      </c>
      <c r="F19" s="3" t="s">
        <v>77</v>
      </c>
      <c r="G19" s="2" t="s">
        <v>78</v>
      </c>
      <c r="H19" s="4"/>
      <c r="I19" s="2" t="s">
        <v>17</v>
      </c>
      <c r="J19" s="4" t="s">
        <v>18</v>
      </c>
    </row>
    <row r="20" spans="1:26" ht="15.75" customHeight="1">
      <c r="A20" s="2">
        <f t="shared" si="0"/>
        <v>18</v>
      </c>
      <c r="B20" s="2" t="s">
        <v>79</v>
      </c>
      <c r="C20" s="2" t="s">
        <v>12</v>
      </c>
      <c r="D20" s="22"/>
      <c r="E20" s="2" t="s">
        <v>80</v>
      </c>
      <c r="F20" s="5" t="s">
        <v>81</v>
      </c>
      <c r="G20" s="2" t="s">
        <v>78</v>
      </c>
      <c r="H20" s="4"/>
      <c r="I20" s="2" t="s">
        <v>17</v>
      </c>
      <c r="J20" s="4" t="s">
        <v>23</v>
      </c>
    </row>
    <row r="21" spans="1:26" ht="37.5" customHeight="1">
      <c r="A21" s="2">
        <f t="shared" si="0"/>
        <v>19</v>
      </c>
      <c r="B21" s="2"/>
      <c r="C21" s="2" t="s">
        <v>12</v>
      </c>
      <c r="D21" s="23"/>
      <c r="E21" s="2" t="s">
        <v>82</v>
      </c>
      <c r="F21" s="5" t="s">
        <v>83</v>
      </c>
      <c r="G21" s="2" t="s">
        <v>78</v>
      </c>
      <c r="H21" s="4" t="s">
        <v>84</v>
      </c>
      <c r="I21" s="2"/>
      <c r="J21" s="4"/>
    </row>
    <row r="22" spans="1:26" ht="23.25" customHeight="1">
      <c r="A22" s="2"/>
      <c r="B22" s="2"/>
      <c r="C22" s="2" t="s">
        <v>12</v>
      </c>
      <c r="D22" s="21" t="s">
        <v>85</v>
      </c>
      <c r="E22" s="2" t="s">
        <v>86</v>
      </c>
      <c r="F22" s="5" t="s">
        <v>87</v>
      </c>
      <c r="G22" s="2" t="s">
        <v>78</v>
      </c>
      <c r="H22" s="4"/>
      <c r="I22" s="2"/>
      <c r="J22" s="4"/>
    </row>
    <row r="23" spans="1:26" ht="23.25" customHeight="1">
      <c r="A23" s="2"/>
      <c r="B23" s="2"/>
      <c r="C23" s="2"/>
      <c r="D23" s="23"/>
      <c r="E23" s="2" t="s">
        <v>88</v>
      </c>
      <c r="F23" s="5" t="s">
        <v>89</v>
      </c>
      <c r="G23" s="2" t="s">
        <v>78</v>
      </c>
      <c r="H23" s="4"/>
      <c r="I23" s="2"/>
      <c r="J23" s="4"/>
    </row>
    <row r="24" spans="1:26" ht="29.25" customHeight="1">
      <c r="A24" s="2"/>
      <c r="B24" s="2"/>
      <c r="C24" s="2" t="s">
        <v>12</v>
      </c>
      <c r="D24" s="21" t="s">
        <v>90</v>
      </c>
      <c r="E24" s="2" t="s">
        <v>91</v>
      </c>
      <c r="F24" s="5" t="s">
        <v>92</v>
      </c>
      <c r="G24" s="2"/>
      <c r="H24" s="4"/>
      <c r="I24" s="2"/>
      <c r="J24" s="4"/>
    </row>
    <row r="25" spans="1:26" ht="33.75" customHeight="1">
      <c r="A25" s="2"/>
      <c r="B25" s="2"/>
      <c r="C25" s="2" t="s">
        <v>12</v>
      </c>
      <c r="D25" s="22"/>
      <c r="E25" s="2" t="s">
        <v>93</v>
      </c>
      <c r="F25" s="5" t="s">
        <v>94</v>
      </c>
      <c r="G25" s="2"/>
      <c r="H25" s="4"/>
      <c r="I25" s="2"/>
      <c r="J25" s="4"/>
    </row>
    <row r="26" spans="1:26" ht="33.75" customHeight="1">
      <c r="A26" s="2"/>
      <c r="B26" s="2"/>
      <c r="C26" s="2" t="s">
        <v>12</v>
      </c>
      <c r="D26" s="22"/>
      <c r="E26" s="2" t="s">
        <v>95</v>
      </c>
      <c r="F26" s="5" t="s">
        <v>96</v>
      </c>
      <c r="G26" s="2"/>
      <c r="H26" s="4"/>
      <c r="I26" s="2"/>
      <c r="J26" s="4"/>
    </row>
    <row r="27" spans="1:26" ht="33.75" customHeight="1">
      <c r="A27" s="2"/>
      <c r="B27" s="2"/>
      <c r="C27" s="2"/>
      <c r="D27" s="23"/>
      <c r="E27" s="2" t="s">
        <v>97</v>
      </c>
      <c r="F27" s="5" t="s">
        <v>98</v>
      </c>
      <c r="G27" s="2" t="s">
        <v>99</v>
      </c>
      <c r="H27" s="4"/>
      <c r="I27" s="2"/>
      <c r="J27" s="4"/>
    </row>
    <row r="28" spans="1:26" ht="15.75" customHeight="1">
      <c r="A28" s="2">
        <f>ROW()-2</f>
        <v>26</v>
      </c>
      <c r="B28" s="2" t="s">
        <v>100</v>
      </c>
      <c r="C28" s="2" t="s">
        <v>12</v>
      </c>
      <c r="D28" s="21" t="s">
        <v>101</v>
      </c>
      <c r="E28" s="2" t="s">
        <v>102</v>
      </c>
      <c r="F28" s="5" t="s">
        <v>103</v>
      </c>
      <c r="G28" s="2" t="s">
        <v>70</v>
      </c>
      <c r="H28" s="4"/>
      <c r="I28" s="2" t="s">
        <v>17</v>
      </c>
      <c r="J28" s="4" t="s">
        <v>18</v>
      </c>
    </row>
    <row r="29" spans="1:26" ht="84.5" customHeight="1">
      <c r="A29" s="2">
        <v>21</v>
      </c>
      <c r="B29" s="2"/>
      <c r="C29" s="2" t="s">
        <v>12</v>
      </c>
      <c r="D29" s="22"/>
      <c r="E29" s="2" t="s">
        <v>104</v>
      </c>
      <c r="F29" s="5" t="s">
        <v>105</v>
      </c>
      <c r="G29" s="2" t="s">
        <v>78</v>
      </c>
      <c r="H29" s="4" t="s">
        <v>106</v>
      </c>
      <c r="I29" s="2"/>
      <c r="J29" s="4"/>
    </row>
    <row r="30" spans="1:26" ht="15.75" customHeight="1">
      <c r="A30" s="2"/>
      <c r="B30" s="2"/>
      <c r="C30" s="2"/>
      <c r="D30" s="23"/>
      <c r="E30" s="2" t="s">
        <v>107</v>
      </c>
      <c r="F30" s="5" t="s">
        <v>108</v>
      </c>
      <c r="G30" s="2"/>
      <c r="H30" s="4"/>
      <c r="I30" s="2"/>
      <c r="J30" s="4"/>
    </row>
    <row r="31" spans="1:26" ht="28.5" customHeight="1">
      <c r="A31" s="6">
        <f>ROW()-2</f>
        <v>29</v>
      </c>
      <c r="B31" s="6" t="s">
        <v>109</v>
      </c>
      <c r="C31" s="6" t="s">
        <v>12</v>
      </c>
      <c r="D31" s="6" t="s">
        <v>110</v>
      </c>
      <c r="E31" s="6" t="s">
        <v>110</v>
      </c>
      <c r="F31" s="7" t="s">
        <v>111</v>
      </c>
      <c r="G31" s="6" t="s">
        <v>99</v>
      </c>
      <c r="H31" s="8"/>
      <c r="I31" s="2" t="s">
        <v>17</v>
      </c>
      <c r="J31" s="8" t="s">
        <v>38</v>
      </c>
    </row>
    <row r="32" spans="1:26" ht="31.5" customHeight="1">
      <c r="A32" s="9"/>
      <c r="B32" s="9"/>
      <c r="C32" s="10" t="s">
        <v>12</v>
      </c>
      <c r="D32" s="11" t="s">
        <v>112</v>
      </c>
      <c r="E32" s="12" t="s">
        <v>112</v>
      </c>
      <c r="F32" s="13" t="s">
        <v>113</v>
      </c>
      <c r="G32" s="12" t="s">
        <v>114</v>
      </c>
      <c r="H32" s="9"/>
      <c r="I32" s="14"/>
      <c r="J32" s="9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10" ht="41.25" customHeight="1">
      <c r="A33" s="2">
        <f>ROW()-2</f>
        <v>31</v>
      </c>
      <c r="B33" s="2" t="str">
        <f ca="1">IFERROR(__xludf.DUMMYFUNCTION("""REQ-0""&amp;to_text(A33)"),"REQ-031")</f>
        <v>REQ-031</v>
      </c>
      <c r="C33" s="2" t="s">
        <v>115</v>
      </c>
      <c r="D33" s="21" t="s">
        <v>116</v>
      </c>
      <c r="E33" s="2" t="s">
        <v>117</v>
      </c>
      <c r="F33" s="3" t="s">
        <v>118</v>
      </c>
      <c r="G33" s="2" t="s">
        <v>99</v>
      </c>
      <c r="H33" s="3"/>
      <c r="I33" s="2" t="s">
        <v>17</v>
      </c>
      <c r="J33" s="4" t="s">
        <v>18</v>
      </c>
    </row>
    <row r="34" spans="1:10" ht="41.25" customHeight="1">
      <c r="A34" s="2"/>
      <c r="B34" s="2"/>
      <c r="C34" s="2"/>
      <c r="D34" s="22"/>
      <c r="E34" s="2" t="s">
        <v>119</v>
      </c>
      <c r="F34" s="3" t="s">
        <v>120</v>
      </c>
      <c r="G34" s="2" t="s">
        <v>99</v>
      </c>
      <c r="H34" s="3"/>
      <c r="I34" s="2"/>
      <c r="J34" s="4"/>
    </row>
    <row r="35" spans="1:10" ht="41.25" customHeight="1">
      <c r="A35" s="2"/>
      <c r="B35" s="2"/>
      <c r="C35" s="2"/>
      <c r="D35" s="22"/>
      <c r="E35" s="2" t="s">
        <v>121</v>
      </c>
      <c r="F35" s="3" t="s">
        <v>122</v>
      </c>
      <c r="G35" s="2" t="s">
        <v>99</v>
      </c>
      <c r="H35" s="3"/>
      <c r="I35" s="2"/>
      <c r="J35" s="4"/>
    </row>
    <row r="36" spans="1:10" ht="41.25" customHeight="1">
      <c r="A36" s="2"/>
      <c r="B36" s="2"/>
      <c r="C36" s="2"/>
      <c r="D36" s="22"/>
      <c r="E36" s="2" t="s">
        <v>123</v>
      </c>
      <c r="F36" s="3" t="s">
        <v>124</v>
      </c>
      <c r="G36" s="2" t="s">
        <v>99</v>
      </c>
      <c r="H36" s="3"/>
      <c r="I36" s="2"/>
      <c r="J36" s="4"/>
    </row>
    <row r="37" spans="1:10" ht="12.5">
      <c r="A37" s="2">
        <f t="shared" ref="A37:A47" si="1">ROW()-2</f>
        <v>35</v>
      </c>
      <c r="B37" s="2" t="str">
        <f ca="1">IFERROR(__xludf.DUMMYFUNCTION("""REQ-0""&amp;to_text(A37)"),"REQ-035")</f>
        <v>REQ-035</v>
      </c>
      <c r="C37" s="2" t="s">
        <v>115</v>
      </c>
      <c r="D37" s="22"/>
      <c r="E37" s="2" t="s">
        <v>125</v>
      </c>
      <c r="F37" s="3" t="s">
        <v>126</v>
      </c>
      <c r="G37" s="2" t="s">
        <v>99</v>
      </c>
      <c r="H37" s="3"/>
      <c r="I37" s="2" t="s">
        <v>17</v>
      </c>
      <c r="J37" s="4" t="s">
        <v>18</v>
      </c>
    </row>
    <row r="38" spans="1:10" ht="49" customHeight="1">
      <c r="A38" s="2">
        <f t="shared" si="1"/>
        <v>36</v>
      </c>
      <c r="B38" s="2" t="str">
        <f ca="1">IFERROR(__xludf.DUMMYFUNCTION("""REQ-0""&amp;to_text(A38)"),"REQ-036")</f>
        <v>REQ-036</v>
      </c>
      <c r="C38" s="2" t="s">
        <v>115</v>
      </c>
      <c r="D38" s="22"/>
      <c r="E38" s="2" t="s">
        <v>127</v>
      </c>
      <c r="F38" s="3" t="s">
        <v>128</v>
      </c>
      <c r="G38" s="2" t="s">
        <v>99</v>
      </c>
      <c r="H38" s="3"/>
      <c r="I38" s="2" t="s">
        <v>17</v>
      </c>
      <c r="J38" s="4" t="s">
        <v>18</v>
      </c>
    </row>
    <row r="39" spans="1:10" ht="45" customHeight="1">
      <c r="A39" s="2">
        <f t="shared" si="1"/>
        <v>37</v>
      </c>
      <c r="B39" s="2" t="str">
        <f ca="1">IFERROR(__xludf.DUMMYFUNCTION("""REQ-0""&amp;to_text(A39)"),"REQ-037")</f>
        <v>REQ-037</v>
      </c>
      <c r="C39" s="2" t="s">
        <v>115</v>
      </c>
      <c r="D39" s="22"/>
      <c r="E39" s="2" t="s">
        <v>129</v>
      </c>
      <c r="F39" s="3" t="s">
        <v>130</v>
      </c>
      <c r="G39" s="2" t="s">
        <v>99</v>
      </c>
      <c r="H39" s="3"/>
      <c r="I39" s="2" t="s">
        <v>17</v>
      </c>
      <c r="J39" s="4" t="s">
        <v>18</v>
      </c>
    </row>
    <row r="40" spans="1:10" ht="29" customHeight="1">
      <c r="A40" s="2">
        <f t="shared" si="1"/>
        <v>38</v>
      </c>
      <c r="B40" s="2" t="str">
        <f ca="1">IFERROR(__xludf.DUMMYFUNCTION("""REQ-0""&amp;to_text(A40)"),"REQ-038")</f>
        <v>REQ-038</v>
      </c>
      <c r="C40" s="2" t="s">
        <v>115</v>
      </c>
      <c r="D40" s="22"/>
      <c r="E40" s="2" t="s">
        <v>131</v>
      </c>
      <c r="F40" s="3" t="s">
        <v>132</v>
      </c>
      <c r="G40" s="2" t="s">
        <v>99</v>
      </c>
      <c r="H40" s="3"/>
      <c r="I40" s="2" t="s">
        <v>17</v>
      </c>
      <c r="J40" s="4" t="s">
        <v>18</v>
      </c>
    </row>
    <row r="41" spans="1:10" ht="15.75" customHeight="1">
      <c r="A41" s="2">
        <f t="shared" si="1"/>
        <v>39</v>
      </c>
      <c r="B41" s="2" t="str">
        <f ca="1">IFERROR(__xludf.DUMMYFUNCTION("""REQ-0""&amp;to_text(A41)"),"REQ-039")</f>
        <v>REQ-039</v>
      </c>
      <c r="C41" s="2" t="s">
        <v>115</v>
      </c>
      <c r="D41" s="22"/>
      <c r="E41" s="2" t="s">
        <v>133</v>
      </c>
      <c r="F41" s="3" t="s">
        <v>134</v>
      </c>
      <c r="G41" s="2" t="s">
        <v>99</v>
      </c>
      <c r="H41" s="3"/>
      <c r="I41" s="2" t="s">
        <v>17</v>
      </c>
      <c r="J41" s="4" t="s">
        <v>18</v>
      </c>
    </row>
    <row r="42" spans="1:10" ht="15.75" customHeight="1">
      <c r="A42" s="2">
        <f t="shared" si="1"/>
        <v>40</v>
      </c>
      <c r="B42" s="2" t="str">
        <f ca="1">IFERROR(__xludf.DUMMYFUNCTION("""REQ-0""&amp;to_text(A42)"),"REQ-040")</f>
        <v>REQ-040</v>
      </c>
      <c r="C42" s="2" t="s">
        <v>115</v>
      </c>
      <c r="D42" s="23"/>
      <c r="E42" s="2" t="s">
        <v>135</v>
      </c>
      <c r="F42" s="3" t="s">
        <v>136</v>
      </c>
      <c r="G42" s="2" t="s">
        <v>99</v>
      </c>
      <c r="H42" s="3"/>
      <c r="I42" s="2" t="s">
        <v>17</v>
      </c>
      <c r="J42" s="4" t="s">
        <v>18</v>
      </c>
    </row>
    <row r="43" spans="1:10" ht="47.5" customHeight="1">
      <c r="A43" s="2">
        <f t="shared" si="1"/>
        <v>41</v>
      </c>
      <c r="B43" s="2" t="str">
        <f ca="1">IFERROR(__xludf.DUMMYFUNCTION("""REQ-0""&amp;to_text(A43)"),"REQ-041")</f>
        <v>REQ-041</v>
      </c>
      <c r="C43" s="2" t="s">
        <v>137</v>
      </c>
      <c r="D43" s="2" t="s">
        <v>138</v>
      </c>
      <c r="E43" s="2" t="s">
        <v>138</v>
      </c>
      <c r="F43" s="3" t="s">
        <v>139</v>
      </c>
      <c r="G43" s="2"/>
      <c r="H43" s="4" t="s">
        <v>140</v>
      </c>
      <c r="I43" s="2" t="s">
        <v>17</v>
      </c>
      <c r="J43" s="4" t="s">
        <v>18</v>
      </c>
    </row>
    <row r="44" spans="1:10" ht="40.5" customHeight="1">
      <c r="A44" s="2">
        <f t="shared" si="1"/>
        <v>42</v>
      </c>
      <c r="B44" s="2" t="str">
        <f ca="1">IFERROR(__xludf.DUMMYFUNCTION("""REQ-0""&amp;to_text(A44)"),"REQ-042")</f>
        <v>REQ-042</v>
      </c>
      <c r="C44" s="2" t="s">
        <v>137</v>
      </c>
      <c r="D44" s="21" t="s">
        <v>141</v>
      </c>
      <c r="E44" s="2" t="s">
        <v>142</v>
      </c>
      <c r="F44" s="16" t="s">
        <v>143</v>
      </c>
      <c r="G44" s="2"/>
      <c r="H44" s="4"/>
      <c r="I44" s="2" t="s">
        <v>17</v>
      </c>
      <c r="J44" s="4" t="s">
        <v>18</v>
      </c>
    </row>
    <row r="45" spans="1:10" ht="28.5" customHeight="1">
      <c r="A45" s="2">
        <f t="shared" si="1"/>
        <v>43</v>
      </c>
      <c r="B45" s="2" t="str">
        <f ca="1">IFERROR(__xludf.DUMMYFUNCTION("""REQ-0""&amp;to_text(A45)"),"REQ-043")</f>
        <v>REQ-043</v>
      </c>
      <c r="C45" s="2" t="s">
        <v>137</v>
      </c>
      <c r="D45" s="22"/>
      <c r="E45" s="2" t="s">
        <v>144</v>
      </c>
      <c r="F45" s="3" t="s">
        <v>145</v>
      </c>
      <c r="G45" s="2"/>
      <c r="H45" s="4" t="s">
        <v>146</v>
      </c>
      <c r="I45" s="2" t="s">
        <v>17</v>
      </c>
      <c r="J45" s="4" t="s">
        <v>18</v>
      </c>
    </row>
    <row r="46" spans="1:10" ht="53" customHeight="1">
      <c r="A46" s="2">
        <f t="shared" si="1"/>
        <v>44</v>
      </c>
      <c r="B46" s="2" t="str">
        <f ca="1">IFERROR(__xludf.DUMMYFUNCTION("""REQ-0""&amp;to_text(A46)"),"REQ-044")</f>
        <v>REQ-044</v>
      </c>
      <c r="C46" s="2" t="s">
        <v>137</v>
      </c>
      <c r="D46" s="23"/>
      <c r="E46" s="2" t="s">
        <v>147</v>
      </c>
      <c r="F46" s="3" t="s">
        <v>148</v>
      </c>
      <c r="G46" s="2"/>
      <c r="H46" s="4"/>
      <c r="I46" s="2" t="s">
        <v>17</v>
      </c>
      <c r="J46" s="4" t="s">
        <v>18</v>
      </c>
    </row>
    <row r="47" spans="1:10" ht="15.75" customHeight="1">
      <c r="A47" s="2">
        <f t="shared" si="1"/>
        <v>45</v>
      </c>
      <c r="B47" s="2" t="str">
        <f ca="1">IFERROR(__xludf.DUMMYFUNCTION("""REQ-0""&amp;to_text(A47)"),"REQ-045")</f>
        <v>REQ-045</v>
      </c>
      <c r="C47" s="2" t="s">
        <v>137</v>
      </c>
      <c r="D47" s="17" t="s">
        <v>149</v>
      </c>
      <c r="E47" s="2" t="s">
        <v>150</v>
      </c>
      <c r="F47" s="3" t="s">
        <v>151</v>
      </c>
      <c r="G47" s="2"/>
      <c r="H47" s="4"/>
      <c r="I47" s="2" t="s">
        <v>17</v>
      </c>
      <c r="J47" s="4" t="s">
        <v>18</v>
      </c>
    </row>
    <row r="48" spans="1:10" ht="15.75" customHeight="1">
      <c r="A48" s="18"/>
      <c r="B48" s="18"/>
      <c r="C48" s="18"/>
      <c r="D48" s="18"/>
      <c r="E48" s="18"/>
      <c r="F48" s="19"/>
      <c r="G48" s="18"/>
      <c r="H48" s="19"/>
      <c r="I48" s="18"/>
      <c r="J48" s="19"/>
    </row>
    <row r="49" spans="1:10" ht="15.75" customHeight="1">
      <c r="A49" s="18"/>
      <c r="B49" s="18"/>
      <c r="C49" s="18"/>
      <c r="D49" s="18"/>
      <c r="E49" s="18"/>
      <c r="F49" s="19"/>
      <c r="G49" s="18"/>
      <c r="H49" s="19"/>
      <c r="I49" s="18"/>
      <c r="J49" s="19"/>
    </row>
    <row r="50" spans="1:10" ht="15.75" customHeight="1">
      <c r="A50" s="18"/>
      <c r="B50" s="18"/>
      <c r="C50" s="18"/>
      <c r="D50" s="18"/>
      <c r="E50" s="18"/>
      <c r="F50" s="19"/>
      <c r="G50" s="18"/>
      <c r="H50" s="19"/>
      <c r="I50" s="18"/>
      <c r="J50" s="19"/>
    </row>
    <row r="51" spans="1:10" ht="15.75" customHeight="1">
      <c r="A51" s="18"/>
      <c r="B51" s="18"/>
      <c r="C51" s="18"/>
      <c r="D51" s="18"/>
      <c r="E51" s="18"/>
      <c r="F51" s="19"/>
      <c r="G51" s="18"/>
      <c r="H51" s="19"/>
      <c r="I51" s="18"/>
      <c r="J51" s="19"/>
    </row>
    <row r="52" spans="1:10" ht="15.75" customHeight="1">
      <c r="A52" s="18"/>
      <c r="B52" s="18"/>
      <c r="C52" s="18"/>
      <c r="D52" s="18"/>
      <c r="E52" s="18"/>
      <c r="F52" s="19"/>
      <c r="G52" s="18"/>
      <c r="H52" s="19"/>
      <c r="I52" s="18"/>
      <c r="J52" s="19"/>
    </row>
    <row r="53" spans="1:10" ht="15.75" customHeight="1">
      <c r="A53" s="18"/>
      <c r="B53" s="18"/>
      <c r="C53" s="18"/>
      <c r="D53" s="18"/>
      <c r="E53" s="18"/>
      <c r="F53" s="19"/>
      <c r="G53" s="18"/>
      <c r="H53" s="19"/>
      <c r="I53" s="18"/>
      <c r="J53" s="19"/>
    </row>
    <row r="54" spans="1:10" ht="15.75" customHeight="1">
      <c r="A54" s="18"/>
      <c r="B54" s="18"/>
      <c r="C54" s="18"/>
      <c r="D54" s="18"/>
      <c r="E54" s="18"/>
      <c r="F54" s="19"/>
      <c r="G54" s="18"/>
      <c r="H54" s="19"/>
      <c r="I54" s="18"/>
      <c r="J54" s="19"/>
    </row>
    <row r="55" spans="1:10" ht="15.75" customHeight="1">
      <c r="A55" s="18"/>
      <c r="B55" s="18"/>
      <c r="C55" s="18"/>
      <c r="D55" s="18"/>
      <c r="E55" s="18"/>
      <c r="F55" s="19"/>
      <c r="G55" s="18"/>
      <c r="H55" s="19"/>
      <c r="I55" s="18"/>
      <c r="J55" s="19"/>
    </row>
    <row r="56" spans="1:10" ht="15.75" customHeight="1">
      <c r="A56" s="18"/>
      <c r="B56" s="18"/>
      <c r="C56" s="18"/>
      <c r="D56" s="18"/>
      <c r="E56" s="18"/>
      <c r="F56" s="19"/>
      <c r="G56" s="18"/>
      <c r="H56" s="19"/>
      <c r="I56" s="18"/>
      <c r="J56" s="19"/>
    </row>
    <row r="57" spans="1:10" ht="15.75" customHeight="1">
      <c r="A57" s="18"/>
      <c r="B57" s="18"/>
      <c r="C57" s="18"/>
      <c r="D57" s="18"/>
      <c r="E57" s="18"/>
      <c r="F57" s="19"/>
      <c r="G57" s="18"/>
      <c r="H57" s="19"/>
      <c r="I57" s="18"/>
      <c r="J57" s="19"/>
    </row>
    <row r="58" spans="1:10" ht="15.75" customHeight="1">
      <c r="A58" s="18"/>
      <c r="B58" s="18"/>
      <c r="C58" s="18"/>
      <c r="D58" s="18"/>
      <c r="E58" s="18"/>
      <c r="F58" s="19"/>
      <c r="G58" s="18"/>
      <c r="H58" s="19"/>
      <c r="I58" s="18"/>
      <c r="J58" s="19"/>
    </row>
    <row r="59" spans="1:10" ht="15.75" customHeight="1">
      <c r="A59" s="18"/>
      <c r="B59" s="18"/>
      <c r="C59" s="18"/>
      <c r="D59" s="18"/>
      <c r="E59" s="18"/>
      <c r="F59" s="19"/>
      <c r="G59" s="18"/>
      <c r="H59" s="19"/>
      <c r="I59" s="18"/>
      <c r="J59" s="19"/>
    </row>
    <row r="60" spans="1:10" ht="15.75" customHeight="1">
      <c r="A60" s="18"/>
      <c r="B60" s="18"/>
      <c r="C60" s="18"/>
      <c r="D60" s="18"/>
      <c r="E60" s="18"/>
      <c r="F60" s="19"/>
      <c r="G60" s="18"/>
      <c r="H60" s="19"/>
      <c r="I60" s="18"/>
      <c r="J60" s="19"/>
    </row>
    <row r="61" spans="1:10" ht="15.75" customHeight="1">
      <c r="A61" s="18"/>
      <c r="B61" s="18"/>
      <c r="C61" s="18"/>
      <c r="D61" s="18"/>
      <c r="E61" s="18"/>
      <c r="F61" s="19"/>
      <c r="G61" s="18"/>
      <c r="H61" s="19"/>
      <c r="I61" s="18"/>
      <c r="J61" s="19"/>
    </row>
    <row r="62" spans="1:10" ht="15.75" customHeight="1">
      <c r="A62" s="18"/>
      <c r="B62" s="18"/>
      <c r="C62" s="18"/>
      <c r="D62" s="18"/>
      <c r="E62" s="18"/>
      <c r="F62" s="19"/>
      <c r="G62" s="18"/>
      <c r="H62" s="19"/>
      <c r="I62" s="18"/>
      <c r="J62" s="19"/>
    </row>
    <row r="63" spans="1:10" ht="15.75" customHeight="1">
      <c r="A63" s="18"/>
      <c r="B63" s="18"/>
      <c r="C63" s="18"/>
      <c r="D63" s="18"/>
      <c r="E63" s="18"/>
      <c r="F63" s="19"/>
      <c r="G63" s="18"/>
      <c r="H63" s="19"/>
      <c r="I63" s="18"/>
      <c r="J63" s="19"/>
    </row>
    <row r="64" spans="1:10" ht="15.75" customHeight="1">
      <c r="A64" s="18"/>
      <c r="B64" s="18"/>
      <c r="C64" s="18"/>
      <c r="D64" s="18"/>
      <c r="E64" s="18"/>
      <c r="F64" s="19"/>
      <c r="G64" s="18"/>
      <c r="H64" s="19"/>
      <c r="I64" s="18"/>
      <c r="J64" s="19"/>
    </row>
    <row r="65" spans="1:10" ht="15.75" customHeight="1">
      <c r="A65" s="18"/>
      <c r="B65" s="18"/>
      <c r="C65" s="18"/>
      <c r="D65" s="18"/>
      <c r="E65" s="18"/>
      <c r="F65" s="19"/>
      <c r="G65" s="18"/>
      <c r="H65" s="19"/>
      <c r="I65" s="18"/>
      <c r="J65" s="19"/>
    </row>
    <row r="66" spans="1:10" ht="15.75" customHeight="1">
      <c r="A66" s="18"/>
      <c r="B66" s="18"/>
      <c r="C66" s="18"/>
      <c r="D66" s="18"/>
      <c r="E66" s="18"/>
      <c r="F66" s="19"/>
      <c r="G66" s="18"/>
      <c r="H66" s="19"/>
      <c r="I66" s="18"/>
      <c r="J66" s="19"/>
    </row>
    <row r="67" spans="1:10" ht="15.75" customHeight="1">
      <c r="A67" s="18"/>
      <c r="B67" s="18"/>
      <c r="C67" s="18"/>
      <c r="D67" s="18"/>
      <c r="E67" s="18"/>
      <c r="F67" s="19"/>
      <c r="G67" s="18"/>
      <c r="H67" s="19"/>
      <c r="I67" s="18"/>
      <c r="J67" s="19"/>
    </row>
    <row r="68" spans="1:10" ht="15.75" customHeight="1">
      <c r="A68" s="18"/>
      <c r="B68" s="18"/>
      <c r="C68" s="18"/>
      <c r="D68" s="18"/>
      <c r="E68" s="18"/>
      <c r="F68" s="19"/>
      <c r="G68" s="18"/>
      <c r="H68" s="19"/>
      <c r="I68" s="18"/>
      <c r="J68" s="19"/>
    </row>
    <row r="69" spans="1:10" ht="15.75" customHeight="1">
      <c r="A69" s="18"/>
      <c r="B69" s="18"/>
      <c r="C69" s="18"/>
      <c r="D69" s="18"/>
      <c r="E69" s="18"/>
      <c r="F69" s="19"/>
      <c r="G69" s="18"/>
      <c r="H69" s="19"/>
      <c r="I69" s="18"/>
      <c r="J69" s="19"/>
    </row>
    <row r="70" spans="1:10" ht="15.75" customHeight="1">
      <c r="A70" s="18"/>
      <c r="B70" s="18"/>
      <c r="C70" s="18"/>
      <c r="D70" s="18"/>
      <c r="E70" s="18"/>
      <c r="F70" s="19"/>
      <c r="G70" s="18"/>
      <c r="H70" s="19"/>
      <c r="I70" s="18"/>
      <c r="J70" s="19"/>
    </row>
    <row r="71" spans="1:10" ht="15.75" customHeight="1">
      <c r="A71" s="18"/>
      <c r="B71" s="18"/>
      <c r="C71" s="18"/>
      <c r="D71" s="18"/>
      <c r="E71" s="18"/>
      <c r="F71" s="19"/>
      <c r="G71" s="18"/>
      <c r="H71" s="19"/>
      <c r="I71" s="18"/>
      <c r="J71" s="19"/>
    </row>
    <row r="72" spans="1:10" ht="15.75" customHeight="1">
      <c r="A72" s="18"/>
      <c r="B72" s="18"/>
      <c r="C72" s="18"/>
      <c r="D72" s="18"/>
      <c r="E72" s="18"/>
      <c r="F72" s="19"/>
      <c r="G72" s="18"/>
      <c r="H72" s="19"/>
      <c r="I72" s="18"/>
      <c r="J72" s="19"/>
    </row>
    <row r="73" spans="1:10" ht="15.75" customHeight="1">
      <c r="A73" s="18"/>
      <c r="B73" s="18"/>
      <c r="C73" s="18"/>
      <c r="D73" s="18"/>
      <c r="E73" s="18"/>
      <c r="F73" s="19"/>
      <c r="G73" s="18"/>
      <c r="H73" s="19"/>
      <c r="I73" s="18"/>
      <c r="J73" s="19"/>
    </row>
    <row r="74" spans="1:10" ht="15.75" customHeight="1">
      <c r="A74" s="18"/>
      <c r="B74" s="18"/>
      <c r="C74" s="18"/>
      <c r="D74" s="18"/>
      <c r="E74" s="18"/>
      <c r="F74" s="19"/>
      <c r="G74" s="18"/>
      <c r="H74" s="19"/>
      <c r="I74" s="18"/>
      <c r="J74" s="19"/>
    </row>
    <row r="75" spans="1:10" ht="15.75" customHeight="1">
      <c r="A75" s="18"/>
      <c r="B75" s="18"/>
      <c r="C75" s="18"/>
      <c r="D75" s="18"/>
      <c r="E75" s="18"/>
      <c r="F75" s="19"/>
      <c r="G75" s="18"/>
      <c r="H75" s="19"/>
      <c r="I75" s="18"/>
      <c r="J75" s="19"/>
    </row>
    <row r="76" spans="1:10" ht="15.75" customHeight="1">
      <c r="A76" s="18"/>
      <c r="B76" s="18"/>
      <c r="C76" s="18"/>
      <c r="D76" s="18"/>
      <c r="E76" s="18"/>
      <c r="F76" s="19"/>
      <c r="G76" s="18"/>
      <c r="H76" s="19"/>
      <c r="I76" s="18"/>
      <c r="J76" s="19"/>
    </row>
    <row r="77" spans="1:10" ht="15.75" customHeight="1">
      <c r="A77" s="18"/>
      <c r="B77" s="18"/>
      <c r="C77" s="18"/>
      <c r="D77" s="18"/>
      <c r="E77" s="18"/>
      <c r="F77" s="19"/>
      <c r="G77" s="18"/>
      <c r="H77" s="19"/>
      <c r="I77" s="18"/>
      <c r="J77" s="19"/>
    </row>
    <row r="78" spans="1:10" ht="15.75" customHeight="1">
      <c r="A78" s="18"/>
      <c r="B78" s="18"/>
      <c r="C78" s="18"/>
      <c r="D78" s="18"/>
      <c r="E78" s="18"/>
      <c r="F78" s="19"/>
      <c r="G78" s="18"/>
      <c r="H78" s="19"/>
      <c r="I78" s="18"/>
      <c r="J78" s="19"/>
    </row>
    <row r="79" spans="1:10" ht="15.75" customHeight="1">
      <c r="A79" s="18"/>
      <c r="B79" s="18"/>
      <c r="C79" s="18"/>
      <c r="D79" s="18"/>
      <c r="E79" s="18"/>
      <c r="F79" s="19"/>
      <c r="G79" s="18"/>
      <c r="H79" s="19"/>
      <c r="I79" s="18"/>
      <c r="J79" s="19"/>
    </row>
    <row r="80" spans="1:10" ht="15.75" customHeight="1">
      <c r="A80" s="18"/>
      <c r="B80" s="18"/>
      <c r="C80" s="18"/>
      <c r="D80" s="18"/>
      <c r="E80" s="18"/>
      <c r="F80" s="19"/>
      <c r="G80" s="18"/>
      <c r="H80" s="19"/>
      <c r="I80" s="18"/>
      <c r="J80" s="19"/>
    </row>
    <row r="81" spans="1:10" ht="15.75" customHeight="1">
      <c r="A81" s="18"/>
      <c r="B81" s="18"/>
      <c r="C81" s="18"/>
      <c r="D81" s="18"/>
      <c r="E81" s="18"/>
      <c r="F81" s="19"/>
      <c r="G81" s="18"/>
      <c r="H81" s="19"/>
      <c r="I81" s="18"/>
      <c r="J81" s="19"/>
    </row>
    <row r="82" spans="1:10" ht="15.75" customHeight="1">
      <c r="A82" s="18"/>
      <c r="B82" s="18"/>
      <c r="C82" s="18"/>
      <c r="D82" s="18"/>
      <c r="E82" s="18"/>
      <c r="F82" s="19"/>
      <c r="G82" s="18"/>
      <c r="H82" s="19"/>
      <c r="I82" s="18"/>
      <c r="J82" s="19"/>
    </row>
    <row r="83" spans="1:10" ht="15.75" customHeight="1">
      <c r="A83" s="18"/>
      <c r="B83" s="18"/>
      <c r="C83" s="18"/>
      <c r="D83" s="18"/>
      <c r="E83" s="18"/>
      <c r="F83" s="19"/>
      <c r="G83" s="18"/>
      <c r="H83" s="19"/>
      <c r="I83" s="18"/>
      <c r="J83" s="19"/>
    </row>
    <row r="84" spans="1:10" ht="15.75" customHeight="1">
      <c r="A84" s="18"/>
      <c r="B84" s="18"/>
      <c r="C84" s="18"/>
      <c r="D84" s="18"/>
      <c r="E84" s="18"/>
      <c r="F84" s="19"/>
      <c r="G84" s="18"/>
      <c r="H84" s="19"/>
      <c r="I84" s="18"/>
      <c r="J84" s="19"/>
    </row>
    <row r="85" spans="1:10" ht="15.75" customHeight="1">
      <c r="A85" s="18"/>
      <c r="B85" s="18"/>
      <c r="C85" s="18"/>
      <c r="D85" s="18"/>
      <c r="E85" s="18"/>
      <c r="F85" s="19"/>
      <c r="G85" s="18"/>
      <c r="H85" s="19"/>
      <c r="I85" s="18"/>
      <c r="J85" s="19"/>
    </row>
    <row r="86" spans="1:10" ht="15.75" customHeight="1">
      <c r="A86" s="18"/>
      <c r="B86" s="18"/>
      <c r="C86" s="18"/>
      <c r="D86" s="18"/>
      <c r="E86" s="18"/>
      <c r="F86" s="19"/>
      <c r="G86" s="18"/>
      <c r="H86" s="19"/>
      <c r="I86" s="18"/>
      <c r="J86" s="19"/>
    </row>
    <row r="87" spans="1:10" ht="15.75" customHeight="1">
      <c r="A87" s="18"/>
      <c r="B87" s="18"/>
      <c r="C87" s="18"/>
      <c r="D87" s="18"/>
      <c r="E87" s="18"/>
      <c r="F87" s="19"/>
      <c r="G87" s="18"/>
      <c r="H87" s="19"/>
      <c r="I87" s="18"/>
      <c r="J87" s="19"/>
    </row>
    <row r="88" spans="1:10" ht="15.75" customHeight="1">
      <c r="A88" s="18"/>
      <c r="B88" s="18"/>
      <c r="C88" s="18"/>
      <c r="D88" s="18"/>
      <c r="E88" s="18"/>
      <c r="F88" s="19"/>
      <c r="G88" s="18"/>
      <c r="H88" s="19"/>
      <c r="I88" s="18"/>
      <c r="J88" s="19"/>
    </row>
    <row r="89" spans="1:10" ht="15.75" customHeight="1">
      <c r="A89" s="18"/>
      <c r="B89" s="18"/>
      <c r="C89" s="18"/>
      <c r="D89" s="18"/>
      <c r="E89" s="18"/>
      <c r="F89" s="19"/>
      <c r="G89" s="18"/>
      <c r="H89" s="19"/>
      <c r="I89" s="18"/>
      <c r="J89" s="19"/>
    </row>
    <row r="90" spans="1:10" ht="15.75" customHeight="1">
      <c r="A90" s="18"/>
      <c r="B90" s="18"/>
      <c r="C90" s="18"/>
      <c r="D90" s="18"/>
      <c r="E90" s="18"/>
      <c r="F90" s="19"/>
      <c r="G90" s="18"/>
      <c r="H90" s="19"/>
      <c r="I90" s="18"/>
      <c r="J90" s="19"/>
    </row>
    <row r="91" spans="1:10" ht="15.75" customHeight="1">
      <c r="A91" s="18"/>
      <c r="B91" s="18"/>
      <c r="C91" s="18"/>
      <c r="D91" s="18"/>
      <c r="E91" s="18"/>
      <c r="F91" s="19"/>
      <c r="G91" s="18"/>
      <c r="H91" s="19"/>
      <c r="I91" s="18"/>
      <c r="J91" s="19"/>
    </row>
    <row r="92" spans="1:10" ht="15.75" customHeight="1">
      <c r="A92" s="18"/>
      <c r="B92" s="18"/>
      <c r="C92" s="18"/>
      <c r="D92" s="18"/>
      <c r="E92" s="18"/>
      <c r="F92" s="19"/>
      <c r="G92" s="18"/>
      <c r="H92" s="19"/>
      <c r="I92" s="18"/>
      <c r="J92" s="19"/>
    </row>
    <row r="93" spans="1:10" ht="15.75" customHeight="1">
      <c r="A93" s="18"/>
      <c r="B93" s="18"/>
      <c r="C93" s="18"/>
      <c r="D93" s="18"/>
      <c r="E93" s="18"/>
      <c r="F93" s="19"/>
      <c r="G93" s="18"/>
      <c r="H93" s="19"/>
      <c r="I93" s="18"/>
      <c r="J93" s="19"/>
    </row>
    <row r="94" spans="1:10" ht="15.75" customHeight="1">
      <c r="A94" s="18"/>
      <c r="B94" s="18"/>
      <c r="C94" s="18"/>
      <c r="D94" s="18"/>
      <c r="E94" s="18"/>
      <c r="F94" s="19"/>
      <c r="G94" s="18"/>
      <c r="H94" s="19"/>
      <c r="I94" s="18"/>
      <c r="J94" s="19"/>
    </row>
    <row r="95" spans="1:10" ht="15.75" customHeight="1">
      <c r="A95" s="18"/>
      <c r="B95" s="18"/>
      <c r="C95" s="18"/>
      <c r="D95" s="18"/>
      <c r="E95" s="18"/>
      <c r="F95" s="19"/>
      <c r="G95" s="18"/>
      <c r="H95" s="19"/>
      <c r="I95" s="18"/>
      <c r="J95" s="19"/>
    </row>
    <row r="96" spans="1:10" ht="15.75" customHeight="1">
      <c r="A96" s="18"/>
      <c r="B96" s="18"/>
      <c r="C96" s="18"/>
      <c r="D96" s="18"/>
      <c r="E96" s="18"/>
      <c r="F96" s="19"/>
      <c r="G96" s="18"/>
      <c r="H96" s="19"/>
      <c r="I96" s="18"/>
      <c r="J96" s="19"/>
    </row>
    <row r="97" spans="1:10" ht="15.75" customHeight="1">
      <c r="A97" s="18"/>
      <c r="B97" s="18"/>
      <c r="C97" s="18"/>
      <c r="D97" s="18"/>
      <c r="E97" s="18"/>
      <c r="F97" s="19"/>
      <c r="G97" s="18"/>
      <c r="H97" s="19"/>
      <c r="I97" s="18"/>
      <c r="J97" s="19"/>
    </row>
    <row r="98" spans="1:10" ht="15.75" customHeight="1">
      <c r="A98" s="18"/>
      <c r="B98" s="18"/>
      <c r="C98" s="18"/>
      <c r="D98" s="18"/>
      <c r="E98" s="18"/>
      <c r="F98" s="19"/>
      <c r="G98" s="18"/>
      <c r="H98" s="19"/>
      <c r="I98" s="18"/>
      <c r="J98" s="19"/>
    </row>
    <row r="99" spans="1:10" ht="15.75" customHeight="1">
      <c r="A99" s="18"/>
      <c r="B99" s="18"/>
      <c r="C99" s="18"/>
      <c r="D99" s="18"/>
      <c r="E99" s="18"/>
      <c r="F99" s="19"/>
      <c r="G99" s="18"/>
      <c r="H99" s="19"/>
      <c r="I99" s="18"/>
      <c r="J99" s="19"/>
    </row>
    <row r="100" spans="1:10" ht="15.75" customHeight="1">
      <c r="A100" s="18"/>
      <c r="B100" s="18"/>
      <c r="C100" s="18"/>
      <c r="D100" s="18"/>
      <c r="E100" s="18"/>
      <c r="F100" s="19"/>
      <c r="G100" s="18"/>
      <c r="H100" s="19"/>
      <c r="I100" s="18"/>
      <c r="J100" s="19"/>
    </row>
    <row r="101" spans="1:10" ht="15.75" customHeight="1">
      <c r="A101" s="18"/>
      <c r="B101" s="18"/>
      <c r="C101" s="18"/>
      <c r="D101" s="18"/>
      <c r="E101" s="18"/>
      <c r="F101" s="19"/>
      <c r="G101" s="18"/>
      <c r="H101" s="19"/>
      <c r="I101" s="18"/>
      <c r="J101" s="19"/>
    </row>
    <row r="102" spans="1:10" ht="15.75" customHeight="1">
      <c r="A102" s="18"/>
      <c r="B102" s="18"/>
      <c r="C102" s="18"/>
      <c r="D102" s="18"/>
      <c r="E102" s="18"/>
      <c r="F102" s="19"/>
      <c r="G102" s="18"/>
      <c r="H102" s="19"/>
      <c r="I102" s="18"/>
      <c r="J102" s="19"/>
    </row>
    <row r="103" spans="1:10" ht="15.75" customHeight="1">
      <c r="A103" s="18"/>
      <c r="B103" s="18"/>
      <c r="C103" s="18"/>
      <c r="D103" s="18"/>
      <c r="E103" s="18"/>
      <c r="F103" s="19"/>
      <c r="G103" s="18"/>
      <c r="H103" s="19"/>
      <c r="I103" s="18"/>
      <c r="J103" s="19"/>
    </row>
    <row r="104" spans="1:10" ht="15.75" customHeight="1">
      <c r="A104" s="18"/>
      <c r="B104" s="18"/>
      <c r="C104" s="18"/>
      <c r="D104" s="18"/>
      <c r="E104" s="18"/>
      <c r="F104" s="19"/>
      <c r="G104" s="18"/>
      <c r="H104" s="19"/>
      <c r="I104" s="18"/>
      <c r="J104" s="19"/>
    </row>
    <row r="105" spans="1:10" ht="15.75" customHeight="1">
      <c r="A105" s="18"/>
      <c r="B105" s="18"/>
      <c r="C105" s="18"/>
      <c r="D105" s="18"/>
      <c r="E105" s="18"/>
      <c r="F105" s="19"/>
      <c r="G105" s="18"/>
      <c r="H105" s="19"/>
      <c r="I105" s="20"/>
    </row>
    <row r="106" spans="1:10" ht="18" customHeight="1">
      <c r="A106" s="18"/>
      <c r="B106" s="18"/>
      <c r="C106" s="18"/>
      <c r="D106" s="18"/>
      <c r="E106" s="18"/>
      <c r="F106" s="19"/>
      <c r="G106" s="19"/>
      <c r="H106" s="19"/>
      <c r="I106" s="20"/>
    </row>
    <row r="107" spans="1:10" ht="18" customHeight="1">
      <c r="A107" s="18"/>
      <c r="B107" s="18"/>
      <c r="C107" s="18"/>
      <c r="D107" s="18"/>
      <c r="E107" s="18"/>
      <c r="F107" s="19"/>
      <c r="G107" s="19"/>
      <c r="H107" s="19"/>
      <c r="I107" s="20"/>
    </row>
    <row r="108" spans="1:10" ht="18" customHeight="1">
      <c r="A108" s="18"/>
      <c r="B108" s="18"/>
      <c r="C108" s="18"/>
      <c r="D108" s="18"/>
      <c r="E108" s="18"/>
      <c r="F108" s="19"/>
      <c r="G108" s="19"/>
      <c r="H108" s="19"/>
      <c r="I108" s="20"/>
    </row>
    <row r="109" spans="1:10" ht="18" customHeight="1">
      <c r="A109" s="18"/>
      <c r="B109" s="18"/>
      <c r="C109" s="18"/>
      <c r="D109" s="18"/>
      <c r="E109" s="18"/>
      <c r="F109" s="19"/>
      <c r="G109" s="19"/>
      <c r="H109" s="19"/>
      <c r="I109" s="20"/>
    </row>
    <row r="110" spans="1:10" ht="18" customHeight="1">
      <c r="A110" s="18"/>
      <c r="B110" s="18"/>
      <c r="C110" s="18"/>
      <c r="D110" s="18"/>
      <c r="E110" s="18"/>
      <c r="F110" s="19"/>
      <c r="G110" s="19"/>
      <c r="H110" s="19"/>
      <c r="I110" s="20"/>
    </row>
    <row r="111" spans="1:10" ht="18" customHeight="1">
      <c r="A111" s="18"/>
      <c r="B111" s="18"/>
      <c r="C111" s="18"/>
      <c r="D111" s="18"/>
      <c r="E111" s="18"/>
      <c r="F111" s="19"/>
      <c r="G111" s="19"/>
      <c r="H111" s="19"/>
      <c r="I111" s="20"/>
    </row>
    <row r="112" spans="1:10" ht="18" customHeight="1">
      <c r="A112" s="18"/>
      <c r="B112" s="18"/>
      <c r="C112" s="18"/>
      <c r="D112" s="18"/>
      <c r="E112" s="18"/>
      <c r="F112" s="19"/>
      <c r="G112" s="19"/>
      <c r="H112" s="19"/>
      <c r="I112" s="20"/>
    </row>
    <row r="113" spans="1:9" ht="18" customHeight="1">
      <c r="A113" s="18"/>
      <c r="B113" s="18"/>
      <c r="C113" s="18"/>
      <c r="D113" s="18"/>
      <c r="E113" s="18"/>
      <c r="F113" s="19"/>
      <c r="G113" s="19"/>
      <c r="H113" s="19"/>
      <c r="I113" s="20"/>
    </row>
    <row r="114" spans="1:9" ht="18" customHeight="1">
      <c r="A114" s="18"/>
      <c r="B114" s="18"/>
      <c r="C114" s="18"/>
      <c r="D114" s="18"/>
      <c r="E114" s="18"/>
      <c r="F114" s="19"/>
      <c r="G114" s="19"/>
      <c r="H114" s="19"/>
      <c r="I114" s="20"/>
    </row>
    <row r="115" spans="1:9" ht="18" customHeight="1">
      <c r="A115" s="18"/>
      <c r="B115" s="18"/>
      <c r="C115" s="18"/>
      <c r="D115" s="18"/>
      <c r="E115" s="18"/>
      <c r="F115" s="19"/>
      <c r="G115" s="19"/>
      <c r="H115" s="19"/>
      <c r="I115" s="20"/>
    </row>
    <row r="116" spans="1:9" ht="18" customHeight="1">
      <c r="A116" s="18"/>
      <c r="B116" s="18"/>
      <c r="C116" s="18"/>
      <c r="D116" s="18"/>
      <c r="E116" s="18"/>
      <c r="F116" s="19"/>
      <c r="G116" s="19"/>
      <c r="H116" s="19"/>
      <c r="I116" s="20"/>
    </row>
    <row r="117" spans="1:9" ht="18" customHeight="1">
      <c r="A117" s="18"/>
      <c r="B117" s="18"/>
      <c r="C117" s="18"/>
      <c r="D117" s="18"/>
      <c r="E117" s="18"/>
      <c r="F117" s="19"/>
      <c r="G117" s="19"/>
      <c r="H117" s="19"/>
      <c r="I117" s="20"/>
    </row>
    <row r="118" spans="1:9" ht="18" customHeight="1">
      <c r="A118" s="18"/>
      <c r="B118" s="18"/>
      <c r="C118" s="18"/>
      <c r="D118" s="18"/>
      <c r="E118" s="18"/>
      <c r="F118" s="19"/>
      <c r="G118" s="19"/>
      <c r="H118" s="19"/>
      <c r="I118" s="20"/>
    </row>
    <row r="119" spans="1:9" ht="18" customHeight="1">
      <c r="A119" s="18"/>
      <c r="B119" s="18"/>
      <c r="C119" s="18"/>
      <c r="D119" s="18"/>
      <c r="E119" s="18"/>
      <c r="F119" s="19"/>
      <c r="G119" s="19"/>
      <c r="H119" s="19"/>
      <c r="I119" s="20"/>
    </row>
    <row r="120" spans="1:9" ht="18" customHeight="1">
      <c r="A120" s="18"/>
      <c r="B120" s="18"/>
      <c r="C120" s="18"/>
      <c r="D120" s="18"/>
      <c r="E120" s="18"/>
      <c r="F120" s="19"/>
      <c r="G120" s="19"/>
      <c r="H120" s="19"/>
      <c r="I120" s="20"/>
    </row>
    <row r="121" spans="1:9" ht="18" customHeight="1">
      <c r="A121" s="18"/>
      <c r="B121" s="18"/>
      <c r="C121" s="18"/>
      <c r="D121" s="18"/>
      <c r="E121" s="18"/>
      <c r="F121" s="19"/>
      <c r="G121" s="19"/>
      <c r="H121" s="19"/>
      <c r="I121" s="20"/>
    </row>
    <row r="122" spans="1:9" ht="18" customHeight="1">
      <c r="A122" s="18"/>
      <c r="B122" s="18"/>
      <c r="C122" s="18"/>
      <c r="D122" s="18"/>
      <c r="E122" s="18"/>
      <c r="F122" s="19"/>
      <c r="G122" s="19"/>
      <c r="H122" s="19"/>
      <c r="I122" s="20"/>
    </row>
    <row r="123" spans="1:9" ht="18" customHeight="1">
      <c r="A123" s="18"/>
      <c r="B123" s="18"/>
      <c r="C123" s="18"/>
      <c r="D123" s="18"/>
      <c r="E123" s="18"/>
      <c r="F123" s="19"/>
      <c r="G123" s="19"/>
      <c r="H123" s="19"/>
      <c r="I123" s="20"/>
    </row>
    <row r="124" spans="1:9" ht="18" customHeight="1">
      <c r="A124" s="18"/>
      <c r="B124" s="18"/>
      <c r="C124" s="18"/>
      <c r="D124" s="18"/>
      <c r="E124" s="18"/>
      <c r="F124" s="19"/>
      <c r="G124" s="19"/>
      <c r="H124" s="19"/>
      <c r="I124" s="20"/>
    </row>
    <row r="125" spans="1:9" ht="18" customHeight="1">
      <c r="A125" s="18"/>
      <c r="B125" s="18"/>
      <c r="C125" s="18"/>
      <c r="D125" s="18"/>
      <c r="E125" s="18"/>
      <c r="F125" s="19"/>
      <c r="G125" s="19"/>
      <c r="H125" s="19"/>
      <c r="I125" s="20"/>
    </row>
    <row r="126" spans="1:9" ht="18" customHeight="1">
      <c r="A126" s="18"/>
      <c r="B126" s="18"/>
      <c r="C126" s="18"/>
      <c r="D126" s="18"/>
      <c r="E126" s="18"/>
      <c r="F126" s="19"/>
      <c r="G126" s="19"/>
      <c r="H126" s="19"/>
      <c r="I126" s="20"/>
    </row>
    <row r="127" spans="1:9" ht="18" customHeight="1">
      <c r="A127" s="18"/>
      <c r="B127" s="18"/>
      <c r="C127" s="18"/>
      <c r="D127" s="18"/>
      <c r="E127" s="18"/>
      <c r="F127" s="19"/>
      <c r="G127" s="19"/>
      <c r="H127" s="19"/>
      <c r="I127" s="20"/>
    </row>
    <row r="128" spans="1:9" ht="18" customHeight="1">
      <c r="A128" s="18"/>
      <c r="B128" s="18"/>
      <c r="C128" s="18"/>
      <c r="D128" s="18"/>
      <c r="E128" s="18"/>
      <c r="F128" s="19"/>
      <c r="G128" s="19"/>
      <c r="H128" s="19"/>
      <c r="I128" s="20"/>
    </row>
    <row r="129" spans="1:9" ht="18" customHeight="1">
      <c r="A129" s="18"/>
      <c r="B129" s="18"/>
      <c r="C129" s="18"/>
      <c r="D129" s="18"/>
      <c r="E129" s="18"/>
      <c r="F129" s="19"/>
      <c r="G129" s="19"/>
      <c r="H129" s="19"/>
      <c r="I129" s="20"/>
    </row>
    <row r="130" spans="1:9" ht="18" customHeight="1">
      <c r="A130" s="18"/>
      <c r="B130" s="18"/>
      <c r="C130" s="18"/>
      <c r="D130" s="18"/>
      <c r="E130" s="18"/>
      <c r="F130" s="19"/>
      <c r="G130" s="19"/>
      <c r="H130" s="19"/>
      <c r="I130" s="20"/>
    </row>
    <row r="131" spans="1:9" ht="18" customHeight="1">
      <c r="A131" s="18"/>
      <c r="B131" s="18"/>
      <c r="C131" s="18"/>
      <c r="D131" s="18"/>
      <c r="E131" s="18"/>
      <c r="F131" s="19"/>
      <c r="G131" s="19"/>
      <c r="H131" s="19"/>
      <c r="I131" s="20"/>
    </row>
    <row r="132" spans="1:9" ht="18" customHeight="1">
      <c r="A132" s="18"/>
      <c r="B132" s="18"/>
      <c r="C132" s="18"/>
      <c r="D132" s="18"/>
      <c r="E132" s="18"/>
      <c r="F132" s="19"/>
      <c r="G132" s="19"/>
      <c r="H132" s="19"/>
      <c r="I132" s="20"/>
    </row>
    <row r="133" spans="1:9" ht="18" customHeight="1">
      <c r="A133" s="18"/>
      <c r="B133" s="18"/>
      <c r="C133" s="18"/>
      <c r="D133" s="18"/>
      <c r="E133" s="18"/>
      <c r="F133" s="19"/>
      <c r="G133" s="19"/>
      <c r="H133" s="19"/>
      <c r="I133" s="20"/>
    </row>
    <row r="134" spans="1:9" ht="18" customHeight="1">
      <c r="A134" s="18"/>
      <c r="B134" s="18"/>
      <c r="C134" s="18"/>
      <c r="D134" s="18"/>
      <c r="E134" s="18"/>
      <c r="F134" s="19"/>
      <c r="G134" s="19"/>
      <c r="H134" s="19"/>
      <c r="I134" s="20"/>
    </row>
    <row r="135" spans="1:9" ht="18" customHeight="1">
      <c r="A135" s="18"/>
      <c r="B135" s="18"/>
      <c r="C135" s="18"/>
      <c r="D135" s="18"/>
      <c r="E135" s="18"/>
      <c r="F135" s="19"/>
      <c r="G135" s="19"/>
      <c r="H135" s="19"/>
      <c r="I135" s="20"/>
    </row>
    <row r="136" spans="1:9" ht="18" customHeight="1">
      <c r="A136" s="18"/>
      <c r="B136" s="18"/>
      <c r="C136" s="18"/>
      <c r="D136" s="18"/>
      <c r="E136" s="18"/>
      <c r="F136" s="19"/>
      <c r="G136" s="19"/>
      <c r="H136" s="19"/>
      <c r="I136" s="20"/>
    </row>
    <row r="137" spans="1:9" ht="18" customHeight="1">
      <c r="A137" s="18"/>
      <c r="B137" s="18"/>
      <c r="C137" s="18"/>
      <c r="D137" s="18"/>
      <c r="E137" s="18"/>
      <c r="F137" s="19"/>
      <c r="G137" s="19"/>
      <c r="H137" s="19"/>
      <c r="I137" s="20"/>
    </row>
    <row r="138" spans="1:9" ht="18" customHeight="1">
      <c r="A138" s="18"/>
      <c r="B138" s="18"/>
      <c r="C138" s="18"/>
      <c r="D138" s="18"/>
      <c r="E138" s="18"/>
      <c r="F138" s="19"/>
      <c r="G138" s="19"/>
      <c r="H138" s="19"/>
      <c r="I138" s="20"/>
    </row>
    <row r="139" spans="1:9" ht="18" customHeight="1">
      <c r="A139" s="18"/>
      <c r="B139" s="18"/>
      <c r="C139" s="18"/>
      <c r="D139" s="18"/>
      <c r="E139" s="18"/>
      <c r="F139" s="19"/>
      <c r="G139" s="19"/>
      <c r="H139" s="19"/>
      <c r="I139" s="20"/>
    </row>
    <row r="140" spans="1:9" ht="18" customHeight="1">
      <c r="A140" s="18"/>
      <c r="B140" s="18"/>
      <c r="C140" s="18"/>
      <c r="D140" s="18"/>
      <c r="E140" s="18"/>
      <c r="F140" s="19"/>
      <c r="G140" s="19"/>
      <c r="H140" s="19"/>
      <c r="I140" s="20"/>
    </row>
    <row r="141" spans="1:9" ht="18" customHeight="1">
      <c r="A141" s="18"/>
      <c r="B141" s="18"/>
      <c r="C141" s="18"/>
      <c r="D141" s="18"/>
      <c r="E141" s="18"/>
      <c r="F141" s="19"/>
      <c r="G141" s="19"/>
      <c r="H141" s="19"/>
      <c r="I141" s="20"/>
    </row>
    <row r="142" spans="1:9" ht="18" customHeight="1">
      <c r="A142" s="18"/>
      <c r="B142" s="18"/>
      <c r="C142" s="18"/>
      <c r="D142" s="18"/>
      <c r="E142" s="18"/>
      <c r="F142" s="19"/>
      <c r="G142" s="19"/>
      <c r="H142" s="19"/>
      <c r="I142" s="20"/>
    </row>
    <row r="143" spans="1:9" ht="18" customHeight="1">
      <c r="A143" s="18"/>
      <c r="B143" s="18"/>
      <c r="C143" s="18"/>
      <c r="D143" s="18"/>
      <c r="E143" s="18"/>
      <c r="F143" s="19"/>
      <c r="G143" s="19"/>
      <c r="H143" s="19"/>
      <c r="I143" s="20"/>
    </row>
    <row r="144" spans="1:9" ht="18" customHeight="1">
      <c r="A144" s="18"/>
      <c r="B144" s="18"/>
      <c r="C144" s="18"/>
      <c r="D144" s="18"/>
      <c r="E144" s="18"/>
      <c r="F144" s="19"/>
      <c r="G144" s="19"/>
      <c r="H144" s="19"/>
      <c r="I144" s="20"/>
    </row>
    <row r="145" spans="1:9" ht="18" customHeight="1">
      <c r="A145" s="18"/>
      <c r="B145" s="18"/>
      <c r="C145" s="18"/>
      <c r="D145" s="18"/>
      <c r="E145" s="18"/>
      <c r="F145" s="19"/>
      <c r="G145" s="19"/>
      <c r="H145" s="19"/>
      <c r="I145" s="20"/>
    </row>
    <row r="146" spans="1:9" ht="18" customHeight="1">
      <c r="A146" s="18"/>
      <c r="B146" s="18"/>
      <c r="C146" s="18"/>
      <c r="D146" s="18"/>
      <c r="E146" s="18"/>
      <c r="F146" s="19"/>
      <c r="G146" s="19"/>
      <c r="H146" s="19"/>
      <c r="I146" s="20"/>
    </row>
    <row r="147" spans="1:9" ht="18" customHeight="1">
      <c r="A147" s="18"/>
      <c r="B147" s="18"/>
      <c r="C147" s="18"/>
      <c r="D147" s="18"/>
      <c r="E147" s="18"/>
      <c r="F147" s="19"/>
      <c r="G147" s="19"/>
      <c r="H147" s="19"/>
      <c r="I147" s="20"/>
    </row>
    <row r="148" spans="1:9" ht="18" customHeight="1">
      <c r="A148" s="18"/>
      <c r="B148" s="18"/>
      <c r="C148" s="18"/>
      <c r="D148" s="18"/>
      <c r="E148" s="18"/>
      <c r="F148" s="19"/>
      <c r="G148" s="19"/>
      <c r="H148" s="19"/>
      <c r="I148" s="20"/>
    </row>
    <row r="149" spans="1:9" ht="18" customHeight="1">
      <c r="A149" s="18"/>
      <c r="B149" s="18"/>
      <c r="C149" s="18"/>
      <c r="D149" s="18"/>
      <c r="E149" s="18"/>
      <c r="F149" s="19"/>
      <c r="G149" s="19"/>
      <c r="H149" s="19"/>
      <c r="I149" s="20"/>
    </row>
    <row r="150" spans="1:9" ht="18" customHeight="1">
      <c r="A150" s="18"/>
      <c r="B150" s="18"/>
      <c r="C150" s="18"/>
      <c r="D150" s="18"/>
      <c r="E150" s="18"/>
      <c r="F150" s="19"/>
      <c r="G150" s="19"/>
      <c r="H150" s="19"/>
      <c r="I150" s="20"/>
    </row>
    <row r="151" spans="1:9" ht="18" customHeight="1">
      <c r="A151" s="18"/>
      <c r="B151" s="18"/>
      <c r="C151" s="18"/>
      <c r="D151" s="18"/>
      <c r="E151" s="18"/>
      <c r="F151" s="19"/>
      <c r="G151" s="19"/>
      <c r="H151" s="19"/>
      <c r="I151" s="20"/>
    </row>
    <row r="152" spans="1:9" ht="18" customHeight="1">
      <c r="A152" s="18"/>
      <c r="B152" s="18"/>
      <c r="C152" s="18"/>
      <c r="D152" s="18"/>
      <c r="E152" s="18"/>
      <c r="F152" s="19"/>
      <c r="G152" s="19"/>
      <c r="H152" s="19"/>
      <c r="I152" s="20"/>
    </row>
    <row r="153" spans="1:9" ht="18" customHeight="1">
      <c r="A153" s="18"/>
      <c r="B153" s="18"/>
      <c r="C153" s="18"/>
      <c r="D153" s="18"/>
      <c r="E153" s="18"/>
      <c r="F153" s="19"/>
      <c r="G153" s="19"/>
      <c r="H153" s="19"/>
      <c r="I153" s="20"/>
    </row>
    <row r="154" spans="1:9" ht="18" customHeight="1">
      <c r="A154" s="18"/>
      <c r="B154" s="18"/>
      <c r="C154" s="18"/>
      <c r="D154" s="18"/>
      <c r="E154" s="18"/>
      <c r="F154" s="19"/>
      <c r="G154" s="19"/>
      <c r="H154" s="19"/>
      <c r="I154" s="20"/>
    </row>
    <row r="155" spans="1:9" ht="18" customHeight="1">
      <c r="A155" s="18"/>
      <c r="B155" s="18"/>
      <c r="C155" s="18"/>
      <c r="D155" s="18"/>
      <c r="E155" s="18"/>
      <c r="F155" s="19"/>
      <c r="G155" s="19"/>
      <c r="H155" s="19"/>
      <c r="I155" s="20"/>
    </row>
    <row r="156" spans="1:9" ht="18" customHeight="1">
      <c r="A156" s="18"/>
      <c r="B156" s="18"/>
      <c r="C156" s="18"/>
      <c r="D156" s="18"/>
      <c r="E156" s="18"/>
      <c r="F156" s="19"/>
      <c r="G156" s="19"/>
      <c r="H156" s="19"/>
      <c r="I156" s="20"/>
    </row>
    <row r="157" spans="1:9" ht="18" customHeight="1">
      <c r="A157" s="18"/>
      <c r="B157" s="18"/>
      <c r="C157" s="18"/>
      <c r="D157" s="18"/>
      <c r="E157" s="18"/>
      <c r="F157" s="19"/>
      <c r="G157" s="19"/>
      <c r="H157" s="19"/>
      <c r="I157" s="20"/>
    </row>
    <row r="158" spans="1:9" ht="18" customHeight="1">
      <c r="A158" s="18"/>
      <c r="B158" s="18"/>
      <c r="C158" s="18"/>
      <c r="D158" s="18"/>
      <c r="E158" s="18"/>
      <c r="F158" s="19"/>
      <c r="G158" s="19"/>
      <c r="H158" s="19"/>
      <c r="I158" s="20"/>
    </row>
    <row r="159" spans="1:9" ht="18" customHeight="1">
      <c r="A159" s="18"/>
      <c r="B159" s="18"/>
      <c r="C159" s="18"/>
      <c r="D159" s="18"/>
      <c r="E159" s="18"/>
      <c r="F159" s="19"/>
      <c r="G159" s="19"/>
      <c r="H159" s="19"/>
      <c r="I159" s="20"/>
    </row>
    <row r="160" spans="1:9" ht="18" customHeight="1">
      <c r="A160" s="18"/>
      <c r="B160" s="18"/>
      <c r="C160" s="18"/>
      <c r="D160" s="18"/>
      <c r="E160" s="18"/>
      <c r="F160" s="19"/>
      <c r="G160" s="19"/>
      <c r="H160" s="19"/>
      <c r="I160" s="20"/>
    </row>
    <row r="161" spans="1:9" ht="18" customHeight="1">
      <c r="A161" s="18"/>
      <c r="B161" s="18"/>
      <c r="C161" s="18"/>
      <c r="D161" s="18"/>
      <c r="E161" s="18"/>
      <c r="F161" s="19"/>
      <c r="G161" s="19"/>
      <c r="H161" s="19"/>
      <c r="I161" s="20"/>
    </row>
    <row r="162" spans="1:9" ht="18" customHeight="1">
      <c r="A162" s="18"/>
      <c r="B162" s="18"/>
      <c r="C162" s="18"/>
      <c r="D162" s="18"/>
      <c r="E162" s="18"/>
      <c r="F162" s="19"/>
      <c r="G162" s="19"/>
      <c r="H162" s="19"/>
      <c r="I162" s="20"/>
    </row>
    <row r="163" spans="1:9" ht="18" customHeight="1">
      <c r="A163" s="18"/>
      <c r="B163" s="18"/>
      <c r="C163" s="18"/>
      <c r="D163" s="18"/>
      <c r="E163" s="18"/>
      <c r="F163" s="19"/>
      <c r="G163" s="19"/>
      <c r="H163" s="19"/>
      <c r="I163" s="20"/>
    </row>
    <row r="164" spans="1:9" ht="18" customHeight="1">
      <c r="A164" s="18"/>
      <c r="B164" s="18"/>
      <c r="C164" s="18"/>
      <c r="D164" s="18"/>
      <c r="E164" s="18"/>
      <c r="F164" s="19"/>
      <c r="G164" s="19"/>
      <c r="H164" s="19"/>
      <c r="I164" s="20"/>
    </row>
    <row r="165" spans="1:9" ht="18" customHeight="1">
      <c r="A165" s="18"/>
      <c r="B165" s="18"/>
      <c r="C165" s="18"/>
      <c r="D165" s="18"/>
      <c r="E165" s="18"/>
      <c r="F165" s="19"/>
      <c r="G165" s="19"/>
      <c r="H165" s="19"/>
      <c r="I165" s="20"/>
    </row>
    <row r="166" spans="1:9" ht="18" customHeight="1">
      <c r="A166" s="18"/>
      <c r="B166" s="18"/>
      <c r="C166" s="18"/>
      <c r="D166" s="18"/>
      <c r="E166" s="18"/>
      <c r="F166" s="19"/>
      <c r="G166" s="19"/>
      <c r="H166" s="19"/>
      <c r="I166" s="20"/>
    </row>
    <row r="167" spans="1:9" ht="18" customHeight="1">
      <c r="A167" s="20"/>
      <c r="B167" s="20"/>
      <c r="C167" s="20"/>
      <c r="D167" s="20"/>
      <c r="E167" s="20"/>
      <c r="I167" s="20"/>
    </row>
    <row r="168" spans="1:9" ht="18" customHeight="1">
      <c r="A168" s="20"/>
      <c r="B168" s="20"/>
      <c r="C168" s="20"/>
      <c r="D168" s="20"/>
      <c r="E168" s="20"/>
      <c r="I168" s="20"/>
    </row>
    <row r="169" spans="1:9" ht="18" customHeight="1">
      <c r="A169" s="20"/>
      <c r="B169" s="20"/>
      <c r="C169" s="20"/>
      <c r="D169" s="20"/>
      <c r="E169" s="20"/>
      <c r="I169" s="20"/>
    </row>
    <row r="170" spans="1:9" ht="18" customHeight="1">
      <c r="A170" s="20"/>
      <c r="B170" s="20"/>
      <c r="C170" s="20"/>
      <c r="D170" s="20"/>
      <c r="E170" s="20"/>
      <c r="I170" s="20"/>
    </row>
    <row r="171" spans="1:9" ht="18" customHeight="1">
      <c r="A171" s="20"/>
      <c r="B171" s="20"/>
      <c r="C171" s="20"/>
      <c r="D171" s="20"/>
      <c r="E171" s="20"/>
      <c r="I171" s="20"/>
    </row>
    <row r="172" spans="1:9" ht="18" customHeight="1">
      <c r="A172" s="20"/>
      <c r="B172" s="20"/>
      <c r="C172" s="20"/>
      <c r="D172" s="20"/>
      <c r="E172" s="20"/>
      <c r="I172" s="20"/>
    </row>
    <row r="173" spans="1:9" ht="18" customHeight="1">
      <c r="A173" s="20"/>
      <c r="B173" s="20"/>
      <c r="C173" s="20"/>
      <c r="D173" s="20"/>
      <c r="E173" s="20"/>
      <c r="I173" s="20"/>
    </row>
    <row r="174" spans="1:9" ht="18" customHeight="1">
      <c r="A174" s="20"/>
      <c r="B174" s="20"/>
      <c r="C174" s="20"/>
      <c r="D174" s="20"/>
      <c r="E174" s="20"/>
      <c r="I174" s="20"/>
    </row>
    <row r="175" spans="1:9" ht="18" customHeight="1">
      <c r="A175" s="20"/>
      <c r="B175" s="20"/>
      <c r="C175" s="20"/>
      <c r="D175" s="20"/>
      <c r="E175" s="20"/>
      <c r="I175" s="20"/>
    </row>
    <row r="176" spans="1:9" ht="18" customHeight="1">
      <c r="A176" s="20"/>
      <c r="B176" s="20"/>
      <c r="C176" s="20"/>
      <c r="D176" s="20"/>
      <c r="E176" s="20"/>
      <c r="I176" s="20"/>
    </row>
    <row r="177" spans="1:9" ht="18" customHeight="1">
      <c r="A177" s="20"/>
      <c r="B177" s="20"/>
      <c r="C177" s="20"/>
      <c r="D177" s="20"/>
      <c r="E177" s="20"/>
      <c r="I177" s="20"/>
    </row>
    <row r="178" spans="1:9" ht="18" customHeight="1">
      <c r="A178" s="20"/>
      <c r="B178" s="20"/>
      <c r="C178" s="20"/>
      <c r="D178" s="20"/>
      <c r="E178" s="20"/>
      <c r="I178" s="20"/>
    </row>
    <row r="179" spans="1:9" ht="18" customHeight="1">
      <c r="A179" s="20"/>
      <c r="B179" s="20"/>
      <c r="C179" s="20"/>
      <c r="D179" s="20"/>
      <c r="E179" s="20"/>
      <c r="I179" s="20"/>
    </row>
    <row r="180" spans="1:9" ht="18" customHeight="1">
      <c r="A180" s="20"/>
      <c r="B180" s="20"/>
      <c r="C180" s="20"/>
      <c r="D180" s="20"/>
      <c r="E180" s="20"/>
      <c r="I180" s="20"/>
    </row>
    <row r="181" spans="1:9" ht="18" customHeight="1">
      <c r="A181" s="20"/>
      <c r="B181" s="20"/>
      <c r="C181" s="20"/>
      <c r="D181" s="20"/>
      <c r="E181" s="20"/>
      <c r="I181" s="20"/>
    </row>
    <row r="182" spans="1:9" ht="18" customHeight="1">
      <c r="A182" s="20"/>
      <c r="B182" s="20"/>
      <c r="C182" s="20"/>
      <c r="D182" s="20"/>
      <c r="E182" s="20"/>
      <c r="I182" s="20"/>
    </row>
    <row r="183" spans="1:9" ht="18" customHeight="1">
      <c r="A183" s="20"/>
      <c r="B183" s="20"/>
      <c r="C183" s="20"/>
      <c r="D183" s="20"/>
      <c r="E183" s="20"/>
      <c r="I183" s="20"/>
    </row>
    <row r="184" spans="1:9" ht="18" customHeight="1">
      <c r="A184" s="20"/>
      <c r="B184" s="20"/>
      <c r="C184" s="20"/>
      <c r="D184" s="20"/>
      <c r="E184" s="20"/>
      <c r="I184" s="20"/>
    </row>
    <row r="185" spans="1:9" ht="18" customHeight="1">
      <c r="A185" s="20"/>
      <c r="B185" s="20"/>
      <c r="C185" s="20"/>
      <c r="D185" s="20"/>
      <c r="E185" s="20"/>
      <c r="I185" s="20"/>
    </row>
    <row r="186" spans="1:9" ht="18" customHeight="1">
      <c r="A186" s="20"/>
      <c r="B186" s="20"/>
      <c r="C186" s="20"/>
      <c r="D186" s="20"/>
      <c r="E186" s="20"/>
      <c r="I186" s="20"/>
    </row>
    <row r="187" spans="1:9" ht="18" customHeight="1">
      <c r="A187" s="20"/>
      <c r="B187" s="20"/>
      <c r="C187" s="20"/>
      <c r="D187" s="20"/>
      <c r="E187" s="20"/>
      <c r="I187" s="20"/>
    </row>
    <row r="188" spans="1:9" ht="18" customHeight="1">
      <c r="A188" s="20"/>
      <c r="B188" s="20"/>
      <c r="C188" s="20"/>
      <c r="D188" s="20"/>
      <c r="E188" s="20"/>
      <c r="I188" s="20"/>
    </row>
    <row r="189" spans="1:9" ht="18" customHeight="1">
      <c r="A189" s="20"/>
      <c r="B189" s="20"/>
      <c r="C189" s="20"/>
      <c r="D189" s="20"/>
      <c r="E189" s="20"/>
      <c r="I189" s="20"/>
    </row>
    <row r="190" spans="1:9" ht="18" customHeight="1">
      <c r="A190" s="20"/>
      <c r="B190" s="20"/>
      <c r="C190" s="20"/>
      <c r="D190" s="20"/>
      <c r="E190" s="20"/>
      <c r="I190" s="20"/>
    </row>
    <row r="191" spans="1:9" ht="18" customHeight="1">
      <c r="A191" s="20"/>
      <c r="B191" s="20"/>
      <c r="C191" s="20"/>
      <c r="D191" s="20"/>
      <c r="E191" s="20"/>
      <c r="I191" s="20"/>
    </row>
    <row r="192" spans="1:9" ht="18" customHeight="1">
      <c r="A192" s="20"/>
      <c r="B192" s="20"/>
      <c r="C192" s="20"/>
      <c r="D192" s="20"/>
      <c r="E192" s="20"/>
      <c r="I192" s="20"/>
    </row>
    <row r="193" spans="1:9" ht="18" customHeight="1">
      <c r="A193" s="20"/>
      <c r="B193" s="20"/>
      <c r="C193" s="20"/>
      <c r="D193" s="20"/>
      <c r="E193" s="20"/>
      <c r="I193" s="20"/>
    </row>
    <row r="194" spans="1:9" ht="18" customHeight="1">
      <c r="A194" s="20"/>
      <c r="B194" s="20"/>
      <c r="C194" s="20"/>
      <c r="D194" s="20"/>
      <c r="E194" s="20"/>
      <c r="I194" s="20"/>
    </row>
    <row r="195" spans="1:9" ht="18" customHeight="1">
      <c r="A195" s="20"/>
      <c r="B195" s="20"/>
      <c r="C195" s="20"/>
      <c r="D195" s="20"/>
      <c r="E195" s="20"/>
      <c r="I195" s="20"/>
    </row>
    <row r="196" spans="1:9" ht="18" customHeight="1">
      <c r="A196" s="20"/>
      <c r="B196" s="20"/>
      <c r="C196" s="20"/>
      <c r="D196" s="20"/>
      <c r="E196" s="20"/>
      <c r="I196" s="20"/>
    </row>
    <row r="197" spans="1:9" ht="18" customHeight="1">
      <c r="A197" s="20"/>
      <c r="B197" s="20"/>
      <c r="C197" s="20"/>
      <c r="D197" s="20"/>
      <c r="E197" s="20"/>
      <c r="I197" s="20"/>
    </row>
    <row r="198" spans="1:9" ht="18" customHeight="1">
      <c r="A198" s="20"/>
      <c r="B198" s="20"/>
      <c r="C198" s="20"/>
      <c r="D198" s="20"/>
      <c r="E198" s="20"/>
      <c r="I198" s="20"/>
    </row>
    <row r="199" spans="1:9" ht="18" customHeight="1">
      <c r="A199" s="20"/>
      <c r="B199" s="20"/>
      <c r="C199" s="20"/>
      <c r="D199" s="20"/>
      <c r="E199" s="20"/>
      <c r="I199" s="20"/>
    </row>
    <row r="200" spans="1:9" ht="18" customHeight="1">
      <c r="A200" s="20"/>
      <c r="B200" s="20"/>
      <c r="C200" s="20"/>
      <c r="D200" s="20"/>
      <c r="E200" s="20"/>
      <c r="I200" s="20"/>
    </row>
    <row r="201" spans="1:9" ht="18" customHeight="1">
      <c r="A201" s="20"/>
      <c r="B201" s="20"/>
      <c r="C201" s="20"/>
      <c r="D201" s="20"/>
      <c r="E201" s="20"/>
      <c r="I201" s="20"/>
    </row>
    <row r="202" spans="1:9" ht="18" customHeight="1">
      <c r="A202" s="20"/>
      <c r="B202" s="20"/>
      <c r="C202" s="20"/>
      <c r="D202" s="20"/>
      <c r="E202" s="20"/>
      <c r="I202" s="20"/>
    </row>
    <row r="203" spans="1:9" ht="18" customHeight="1">
      <c r="A203" s="20"/>
      <c r="B203" s="20"/>
      <c r="C203" s="20"/>
      <c r="D203" s="20"/>
      <c r="E203" s="20"/>
      <c r="I203" s="20"/>
    </row>
    <row r="204" spans="1:9" ht="18" customHeight="1">
      <c r="A204" s="20"/>
      <c r="B204" s="20"/>
      <c r="C204" s="20"/>
      <c r="D204" s="20"/>
      <c r="E204" s="20"/>
      <c r="I204" s="20"/>
    </row>
    <row r="205" spans="1:9" ht="18" customHeight="1">
      <c r="A205" s="20"/>
      <c r="B205" s="20"/>
      <c r="C205" s="20"/>
      <c r="D205" s="20"/>
      <c r="E205" s="20"/>
      <c r="I205" s="20"/>
    </row>
    <row r="206" spans="1:9" ht="15.75" customHeight="1">
      <c r="I206" s="20"/>
    </row>
    <row r="207" spans="1:9" ht="15.75" customHeight="1">
      <c r="I207" s="20"/>
    </row>
    <row r="208" spans="1:9" ht="15.75" customHeight="1">
      <c r="I208" s="20"/>
    </row>
    <row r="209" spans="9:9" ht="15.75" customHeight="1">
      <c r="I209" s="20"/>
    </row>
    <row r="210" spans="9:9" ht="15.75" customHeight="1">
      <c r="I210" s="20"/>
    </row>
    <row r="211" spans="9:9" ht="15.75" customHeight="1">
      <c r="I211" s="20"/>
    </row>
    <row r="212" spans="9:9" ht="15.75" customHeight="1">
      <c r="I212" s="20"/>
    </row>
    <row r="213" spans="9:9" ht="15.75" customHeight="1">
      <c r="I213" s="20"/>
    </row>
    <row r="214" spans="9:9" ht="15.75" customHeight="1">
      <c r="I214" s="20"/>
    </row>
    <row r="215" spans="9:9" ht="15.75" customHeight="1">
      <c r="I215" s="20"/>
    </row>
    <row r="216" spans="9:9" ht="15.75" customHeight="1">
      <c r="I216" s="20"/>
    </row>
    <row r="217" spans="9:9" ht="15.75" customHeight="1">
      <c r="I217" s="20"/>
    </row>
    <row r="218" spans="9:9" ht="15.75" customHeight="1">
      <c r="I218" s="20"/>
    </row>
    <row r="219" spans="9:9" ht="15.75" customHeight="1">
      <c r="I219" s="20"/>
    </row>
    <row r="220" spans="9:9" ht="15.75" customHeight="1">
      <c r="I220" s="20"/>
    </row>
    <row r="221" spans="9:9" ht="15.75" customHeight="1">
      <c r="I221" s="20"/>
    </row>
    <row r="222" spans="9:9" ht="15.75" customHeight="1">
      <c r="I222" s="20"/>
    </row>
    <row r="223" spans="9:9" ht="15.75" customHeight="1">
      <c r="I223" s="20"/>
    </row>
    <row r="224" spans="9:9" ht="15.75" customHeight="1">
      <c r="I224" s="20"/>
    </row>
    <row r="225" spans="9:9" ht="15.75" customHeight="1">
      <c r="I225" s="20"/>
    </row>
    <row r="226" spans="9:9" ht="15.75" customHeight="1">
      <c r="I226" s="20"/>
    </row>
    <row r="227" spans="9:9" ht="15.75" customHeight="1">
      <c r="I227" s="20"/>
    </row>
    <row r="228" spans="9:9" ht="15.75" customHeight="1">
      <c r="I228" s="20"/>
    </row>
    <row r="229" spans="9:9" ht="15.75" customHeight="1">
      <c r="I229" s="20"/>
    </row>
    <row r="230" spans="9:9" ht="15.75" customHeight="1">
      <c r="I230" s="20"/>
    </row>
    <row r="231" spans="9:9" ht="15.75" customHeight="1">
      <c r="I231" s="20"/>
    </row>
    <row r="232" spans="9:9" ht="15.75" customHeight="1">
      <c r="I232" s="20"/>
    </row>
    <row r="233" spans="9:9" ht="15.75" customHeight="1">
      <c r="I233" s="20"/>
    </row>
    <row r="234" spans="9:9" ht="15.75" customHeight="1">
      <c r="I234" s="20"/>
    </row>
    <row r="235" spans="9:9" ht="15.75" customHeight="1">
      <c r="I235" s="20"/>
    </row>
    <row r="236" spans="9:9" ht="15.75" customHeight="1">
      <c r="I236" s="20"/>
    </row>
    <row r="237" spans="9:9" ht="15.75" customHeight="1">
      <c r="I237" s="20"/>
    </row>
    <row r="238" spans="9:9" ht="15.75" customHeight="1">
      <c r="I238" s="20"/>
    </row>
    <row r="239" spans="9:9" ht="15.75" customHeight="1">
      <c r="I239" s="20"/>
    </row>
    <row r="240" spans="9:9" ht="15.75" customHeight="1">
      <c r="I240" s="20"/>
    </row>
    <row r="241" spans="9:9" ht="15.75" customHeight="1">
      <c r="I241" s="20"/>
    </row>
    <row r="242" spans="9:9" ht="15.75" customHeight="1">
      <c r="I242" s="20"/>
    </row>
    <row r="243" spans="9:9" ht="15.75" customHeight="1">
      <c r="I243" s="20"/>
    </row>
    <row r="244" spans="9:9" ht="15.75" customHeight="1">
      <c r="I244" s="20"/>
    </row>
    <row r="245" spans="9:9" ht="15.75" customHeight="1">
      <c r="I245" s="20"/>
    </row>
    <row r="246" spans="9:9" ht="15.75" customHeight="1">
      <c r="I246" s="20"/>
    </row>
    <row r="247" spans="9:9" ht="15.75" customHeight="1">
      <c r="I247" s="20"/>
    </row>
    <row r="248" spans="9:9" ht="15.75" customHeight="1"/>
    <row r="249" spans="9:9" ht="15.75" customHeight="1"/>
    <row r="250" spans="9:9" ht="15.75" customHeight="1"/>
    <row r="251" spans="9:9" ht="15.75" customHeight="1"/>
    <row r="252" spans="9:9" ht="15.75" customHeight="1"/>
    <row r="253" spans="9:9" ht="15.75" customHeight="1"/>
    <row r="254" spans="9:9" ht="15.75" customHeight="1"/>
    <row r="255" spans="9:9" ht="15.75" customHeight="1"/>
    <row r="256" spans="9: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1">
    <mergeCell ref="A1:J1"/>
    <mergeCell ref="D24:D27"/>
    <mergeCell ref="D28:D30"/>
    <mergeCell ref="D33:D42"/>
    <mergeCell ref="D44:D46"/>
    <mergeCell ref="D3:D5"/>
    <mergeCell ref="D6:D8"/>
    <mergeCell ref="D9:D15"/>
    <mergeCell ref="D17:D18"/>
    <mergeCell ref="D19:D21"/>
    <mergeCell ref="D22:D23"/>
  </mergeCells>
  <phoneticPr fontId="9" type="noConversion"/>
  <dataValidations count="3">
    <dataValidation type="list" allowBlank="1" showErrorMessage="1" sqref="J3:J47" xr:uid="{00000000-0002-0000-0000-000000000000}">
      <formula1>"01-최상,02-상,03-중,04-하,05-최하"</formula1>
    </dataValidation>
    <dataValidation type="list" allowBlank="1" showErrorMessage="1" sqref="C3:C47" xr:uid="{00000000-0002-0000-0000-000001000000}">
      <formula1>"웹 UI,앱 UI,AI,기타,DB,관리자"</formula1>
    </dataValidation>
    <dataValidation type="list" allowBlank="1" showErrorMessage="1" sqref="I3:I47" xr:uid="{00000000-0002-0000-0000-000002000000}">
      <formula1>"진행중,완료,보류"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baegii gga</cp:lastModifiedBy>
  <dcterms:modified xsi:type="dcterms:W3CDTF">2026-06-02T00:17:45Z</dcterms:modified>
</cp:coreProperties>
</file>